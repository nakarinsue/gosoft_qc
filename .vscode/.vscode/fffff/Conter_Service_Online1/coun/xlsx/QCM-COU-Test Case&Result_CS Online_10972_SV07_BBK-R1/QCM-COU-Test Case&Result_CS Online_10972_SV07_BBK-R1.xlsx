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karinsue\Downloads\cs\"/>
    </mc:Choice>
  </mc:AlternateContent>
  <xr:revisionPtr revIDLastSave="0" documentId="13_ncr:1_{A1B4E01E-0A39-44A3-81BD-B7CD28E92A77}" xr6:coauthVersionLast="47" xr6:coauthVersionMax="47" xr10:uidLastSave="{00000000-0000-0000-0000-000000000000}"/>
  <bookViews>
    <workbookView xWindow="0" yWindow="360" windowWidth="29040" windowHeight="15720" firstSheet="1" activeTab="1" xr2:uid="{00000000-000D-0000-FFFF-FFFF00000000}"/>
  </bookViews>
  <sheets>
    <sheet name="SR History" sheetId="8" r:id="rId1"/>
    <sheet name="Test_Case&amp;Result" sheetId="7" r:id="rId2"/>
    <sheet name="CONFIG" sheetId="1" r:id="rId3"/>
    <sheet name="Validation" sheetId="2" r:id="rId4"/>
    <sheet name="Autofix" sheetId="3" r:id="rId5"/>
    <sheet name="AutoResend" sheetId="4" r:id="rId6"/>
    <sheet name="Notes" sheetId="9" r:id="rId7"/>
    <sheet name="How to use template" sheetId="10" r:id="rId8"/>
    <sheet name="Option" sheetId="11" r:id="rId9"/>
  </sheets>
  <definedNames>
    <definedName name="_56F9DC9755BA473782653E2940F9FormId">"y3yDDp4oxEWPHuKDu39iiayg-uvPrSNIj-BFIIWav09UODMwT01LNUxOSkIxV0VHVTJBWTBJWjg4TyQlQCN0PWcu"</definedName>
    <definedName name="_56F9DC9755BA473782653E2940F9ResponseSheet">"Form1"</definedName>
    <definedName name="_56F9DC9755BA473782653E2940F9SourceDocId">"{e252a9d9-c8f5-445e-aad5-a4445655d22e}"</definedName>
    <definedName name="StepNo">!A1048576+1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1" l="1" a="1"/>
  <c r="R2" i="11" s="1"/>
  <c r="Q2" i="11"/>
  <c r="Q2" i="11" a="1"/>
  <c r="P2" i="11" a="1"/>
  <c r="P2" i="11" s="1"/>
  <c r="G29" i="7" s="1"/>
  <c r="O2" i="11" a="1"/>
  <c r="O2" i="11" s="1"/>
  <c r="G28" i="7" s="1"/>
  <c r="N2" i="11" a="1"/>
  <c r="N2" i="11" s="1"/>
  <c r="G21" i="7" s="1"/>
  <c r="M2" i="11" a="1"/>
  <c r="M2" i="11" s="1"/>
  <c r="G20" i="7" s="1"/>
  <c r="L2" i="11" a="1"/>
  <c r="L2" i="11" s="1"/>
  <c r="K2" i="11"/>
  <c r="K2" i="11" a="1"/>
  <c r="J2" i="11" a="1"/>
  <c r="J2" i="11" s="1"/>
  <c r="I2" i="11" a="1"/>
  <c r="I2" i="11" s="1"/>
  <c r="G19" i="7" s="1"/>
  <c r="H2" i="11" a="1"/>
  <c r="H2" i="11" s="1"/>
  <c r="G2" i="11" a="1"/>
  <c r="G2" i="11" s="1"/>
  <c r="F2" i="11" a="1"/>
  <c r="F2" i="11" s="1"/>
  <c r="D14" i="7" s="1"/>
  <c r="E2" i="11"/>
  <c r="D13" i="7" s="1"/>
  <c r="E2" i="11" a="1"/>
  <c r="D2" i="11" a="1"/>
  <c r="D2" i="11" s="1"/>
  <c r="D12" i="7" s="1"/>
  <c r="C2" i="11" a="1"/>
  <c r="C2" i="11" s="1"/>
  <c r="B2" i="11" a="1"/>
  <c r="B2" i="11" s="1"/>
  <c r="D9" i="7" s="1"/>
  <c r="A2" i="11" a="1"/>
  <c r="A2" i="11" s="1"/>
  <c r="D3" i="7" s="1"/>
  <c r="G22" i="7"/>
  <c r="A17" i="7"/>
  <c r="F16" i="7"/>
  <c r="E16" i="7"/>
  <c r="B16" i="7"/>
  <c r="D7" i="7"/>
  <c r="F6" i="7"/>
  <c r="B113" i="7"/>
  <c r="A113" i="7"/>
  <c r="B111" i="7"/>
  <c r="A111" i="7"/>
  <c r="B108" i="7"/>
  <c r="A108" i="7"/>
  <c r="B103" i="7"/>
  <c r="A103" i="7"/>
  <c r="B100" i="7"/>
  <c r="A100" i="7"/>
  <c r="B96" i="7"/>
  <c r="A96" i="7"/>
  <c r="B93" i="7"/>
  <c r="A93" i="7"/>
  <c r="B92" i="7"/>
  <c r="A92" i="7"/>
  <c r="B89" i="7"/>
  <c r="A89" i="7"/>
  <c r="B86" i="7"/>
  <c r="A86" i="7"/>
  <c r="B83" i="7"/>
  <c r="A83" i="7"/>
  <c r="B82" i="7"/>
  <c r="A82" i="7"/>
  <c r="B79" i="7"/>
  <c r="A79" i="7"/>
  <c r="B69" i="7"/>
  <c r="A69" i="7"/>
  <c r="B66" i="7"/>
  <c r="A66" i="7"/>
  <c r="B61" i="7"/>
  <c r="A61" i="7"/>
  <c r="B55" i="7"/>
  <c r="A55" i="7"/>
  <c r="B51" i="7"/>
  <c r="A51" i="7"/>
  <c r="B49" i="7"/>
  <c r="A49" i="7"/>
  <c r="B44" i="7"/>
  <c r="A44" i="7"/>
  <c r="G40" i="7"/>
  <c r="G39" i="7"/>
  <c r="G38" i="7"/>
  <c r="G37" i="7"/>
  <c r="G36" i="7"/>
  <c r="G35" i="7"/>
  <c r="G34" i="7"/>
  <c r="G33" i="7"/>
  <c r="G32" i="7"/>
  <c r="G27" i="7"/>
  <c r="G26" i="7"/>
  <c r="G25" i="7"/>
  <c r="G24" i="7"/>
  <c r="G23" i="7"/>
  <c r="L5" i="7"/>
  <c r="L4" i="7"/>
  <c r="L3" i="7"/>
  <c r="B104" i="7" l="1"/>
  <c r="B109" i="7"/>
  <c r="B85" i="7"/>
  <c r="B39" i="7"/>
  <c r="B31" i="7"/>
  <c r="B68" i="7"/>
  <c r="B27" i="7"/>
  <c r="B35" i="7"/>
  <c r="B67" i="7"/>
  <c r="B80" i="7"/>
  <c r="B62" i="7"/>
  <c r="B107" i="7"/>
  <c r="B36" i="7"/>
  <c r="B26" i="7"/>
  <c r="B45" i="7"/>
  <c r="B105" i="7"/>
  <c r="B75" i="7"/>
  <c r="B43" i="7"/>
  <c r="B34" i="7"/>
  <c r="B23" i="7"/>
  <c r="B99" i="7"/>
  <c r="B87" i="7"/>
  <c r="B74" i="7"/>
  <c r="B57" i="7"/>
  <c r="B22" i="7"/>
  <c r="B98" i="7"/>
  <c r="B73" i="7"/>
  <c r="B56" i="7"/>
  <c r="B40" i="7"/>
  <c r="B19" i="7"/>
  <c r="B110" i="7"/>
  <c r="B97" i="7"/>
  <c r="B32" i="7"/>
  <c r="B63" i="7"/>
  <c r="B91" i="7"/>
  <c r="D6" i="7"/>
  <c r="D4" i="7"/>
  <c r="B28" i="7"/>
  <c r="B81" i="7"/>
  <c r="B114" i="7"/>
  <c r="B30" i="7"/>
  <c r="B38" i="7"/>
  <c r="B50" i="7"/>
  <c r="A19" i="7"/>
  <c r="A20" i="7" s="1"/>
  <c r="B46" i="7"/>
  <c r="B52" i="7"/>
  <c r="B58" i="7"/>
  <c r="B64" i="7"/>
  <c r="B70" i="7"/>
  <c r="B76" i="7"/>
  <c r="B88" i="7"/>
  <c r="B94" i="7"/>
  <c r="B106" i="7"/>
  <c r="B112" i="7"/>
  <c r="B20" i="7"/>
  <c r="B24" i="7"/>
  <c r="B33" i="7"/>
  <c r="B37" i="7"/>
  <c r="B41" i="7"/>
  <c r="B47" i="7"/>
  <c r="B53" i="7"/>
  <c r="B59" i="7"/>
  <c r="B65" i="7"/>
  <c r="B71" i="7"/>
  <c r="B77" i="7"/>
  <c r="B95" i="7"/>
  <c r="B101" i="7"/>
  <c r="B21" i="7"/>
  <c r="B25" i="7"/>
  <c r="B29" i="7"/>
  <c r="B42" i="7"/>
  <c r="B48" i="7"/>
  <c r="B54" i="7"/>
  <c r="B60" i="7"/>
  <c r="B72" i="7"/>
  <c r="B78" i="7"/>
  <c r="B84" i="7"/>
  <c r="B90" i="7"/>
  <c r="B102" i="7"/>
  <c r="A21" i="7" l="1"/>
  <c r="A22" i="7" s="1"/>
  <c r="A23" i="7" l="1"/>
  <c r="A24" i="7" l="1"/>
  <c r="A25" i="7" l="1"/>
  <c r="A26" i="7" l="1"/>
  <c r="A27" i="7" l="1"/>
  <c r="A30" i="7" l="1"/>
  <c r="A28" i="7"/>
  <c r="A29" i="7" l="1"/>
  <c r="A31" i="7"/>
  <c r="A32" i="7" l="1"/>
  <c r="A33" i="7" s="1"/>
  <c r="A34" i="7" s="1"/>
  <c r="A35" i="7" l="1"/>
  <c r="A36" i="7" s="1"/>
  <c r="A37" i="7" s="1"/>
  <c r="A38" i="7" s="1"/>
  <c r="A39" i="7" s="1"/>
  <c r="A40" i="7" s="1"/>
  <c r="A41" i="7" s="1"/>
  <c r="A42" i="7" s="1"/>
  <c r="A43" i="7" s="1"/>
  <c r="A45" i="7" s="1"/>
  <c r="A46" i="7" s="1"/>
  <c r="A47" i="7" s="1"/>
  <c r="A48" i="7" s="1"/>
  <c r="A50" i="7" s="1"/>
  <c r="A52" i="7" s="1"/>
  <c r="A53" i="7" s="1"/>
  <c r="A54" i="7" s="1"/>
  <c r="A56" i="7" s="1"/>
  <c r="A57" i="7" s="1"/>
  <c r="A58" i="7" s="1"/>
  <c r="A59" i="7" s="1"/>
  <c r="A60" i="7" s="1"/>
  <c r="A62" i="7" s="1"/>
  <c r="A63" i="7" s="1"/>
  <c r="A64" i="7" s="1"/>
  <c r="A65" i="7" s="1"/>
  <c r="A67" i="7" s="1"/>
  <c r="A68" i="7" s="1"/>
  <c r="A70" i="7" s="1"/>
  <c r="A71" i="7" s="1"/>
  <c r="A72" i="7" s="1"/>
  <c r="A73" i="7" s="1"/>
  <c r="A74" i="7" s="1"/>
  <c r="A75" i="7" s="1"/>
  <c r="A76" i="7" s="1"/>
  <c r="A77" i="7" s="1"/>
  <c r="A78" i="7" s="1"/>
  <c r="A80" i="7" s="1"/>
  <c r="A81" i="7" s="1"/>
  <c r="A84" i="7" s="1"/>
  <c r="A85" i="7" s="1"/>
  <c r="A87" i="7" s="1"/>
  <c r="A88" i="7" s="1"/>
  <c r="A90" i="7" s="1"/>
  <c r="A91" i="7" s="1"/>
  <c r="A94" i="7" s="1"/>
  <c r="A95" i="7" s="1"/>
  <c r="A97" i="7" s="1"/>
  <c r="A98" i="7" s="1"/>
  <c r="A99" i="7" s="1"/>
  <c r="A101" i="7" s="1"/>
  <c r="A102" i="7" s="1"/>
  <c r="A104" i="7" s="1"/>
  <c r="A105" i="7" s="1"/>
  <c r="A106" i="7" s="1"/>
  <c r="A107" i="7" s="1"/>
  <c r="A109" i="7" s="1"/>
  <c r="A110" i="7" s="1"/>
  <c r="A112" i="7" s="1"/>
  <c r="A11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<sst xmlns="http://schemas.openxmlformats.org/spreadsheetml/2006/main" count="5158" uniqueCount="1064">
  <si>
    <t>ONLSTD.WS_CLIENT_CONFIG</t>
  </si>
  <si>
    <t>VENDOR_ID</t>
  </si>
  <si>
    <t>SERVICE_ID</t>
  </si>
  <si>
    <t>LOG_ID</t>
  </si>
  <si>
    <t>DB_ID</t>
  </si>
  <si>
    <t>TX_TABLE</t>
  </si>
  <si>
    <t>LOG_TABLE</t>
  </si>
  <si>
    <t>SYSTEM_TYPE</t>
  </si>
  <si>
    <t>MIN_AMT</t>
  </si>
  <si>
    <t>MAX_AMT</t>
  </si>
  <si>
    <t>OR_TIMEOUT</t>
  </si>
  <si>
    <t>EFF_DATE</t>
  </si>
  <si>
    <t>EXPIRE_DATE</t>
  </si>
  <si>
    <t>EFF_TIME</t>
  </si>
  <si>
    <t>EXPIRE_TIME</t>
  </si>
  <si>
    <t>CREATE_DATE</t>
  </si>
  <si>
    <t>LAST_UPDATE_DATE</t>
  </si>
  <si>
    <t>AUSER_ID</t>
  </si>
  <si>
    <t>TX_ID_TABLE</t>
  </si>
  <si>
    <t>LOG_ID_TABLE</t>
  </si>
  <si>
    <t>VENDOR_CODE</t>
  </si>
  <si>
    <t>VENDOR_NAME</t>
  </si>
  <si>
    <t>DX_READ_TBL</t>
  </si>
  <si>
    <t>CHK_AMT_SRV</t>
  </si>
  <si>
    <t>CHK_AMT_FNT</t>
  </si>
  <si>
    <t>CALC_VAT</t>
  </si>
  <si>
    <t>CHK_AMT_BEFORE</t>
  </si>
  <si>
    <t>CHK_AMT_AFTER</t>
  </si>
  <si>
    <t>FULL_FORM_TYPE</t>
  </si>
  <si>
    <t>USERID</t>
  </si>
  <si>
    <t>PASSWD</t>
  </si>
  <si>
    <t>SERVICE_CHARGE</t>
  </si>
  <si>
    <t>SRV_OPEN_TIME</t>
  </si>
  <si>
    <t>SRV_CLOSE_TIME</t>
  </si>
  <si>
    <t>CHK_OR_OVERDAY</t>
  </si>
  <si>
    <t>CHK_FULL_SET</t>
  </si>
  <si>
    <t>PARTIAL_AMT</t>
  </si>
  <si>
    <t>CALL_SRV_TIMEOUT</t>
  </si>
  <si>
    <t>SHORT_VENDOR_NAME</t>
  </si>
  <si>
    <t>CHK_OR_OVERLIMIT</t>
  </si>
  <si>
    <t>CHK_RETURN_TX</t>
  </si>
  <si>
    <t>CHK_PRINT_SLIP</t>
  </si>
  <si>
    <t>DISCOUNT_CHARGE</t>
  </si>
  <si>
    <t>CHK_REF_MATCH</t>
  </si>
  <si>
    <t>AIRLINE</t>
  </si>
  <si>
    <t>CALL_VENDOR_TIMEOUT</t>
  </si>
  <si>
    <t>SWITCH_OFFLINE</t>
  </si>
  <si>
    <t>SRV_OPEN_TIME_OVER_DAY</t>
  </si>
  <si>
    <t>CHK_DUP_AFTER</t>
  </si>
  <si>
    <t>SR_RUNNING_FORMAT</t>
  </si>
  <si>
    <t>CHK_SPECIAL_REF</t>
  </si>
  <si>
    <t>TAX_FULLFORM</t>
  </si>
  <si>
    <t>CHK_RETURN_SERVICE</t>
  </si>
  <si>
    <t>CHK_PRODUCT_REF</t>
  </si>
  <si>
    <t>OR_HHMM</t>
  </si>
  <si>
    <t>POPUP</t>
  </si>
  <si>
    <t>FULL_FORM_OR_TYPE</t>
  </si>
  <si>
    <t>FULL_FORM_OR_CONFIRM_TYPE</t>
  </si>
  <si>
    <t>CONFIRM_TYPE</t>
  </si>
  <si>
    <t>VENDOR_USERID</t>
  </si>
  <si>
    <t>INQUIRY_PROD_CODE</t>
  </si>
  <si>
    <t>INQUIRY_CLIENT</t>
  </si>
  <si>
    <t>INQUIRY_SERVICE</t>
  </si>
  <si>
    <t>XCODE</t>
  </si>
  <si>
    <t>SAMEDAY_TEXT_NAME_ID</t>
  </si>
  <si>
    <t>VENDOR_PASSWD</t>
  </si>
  <si>
    <t>INCOMPLETE_STATUS</t>
  </si>
  <si>
    <t>FLAG_IS_OPEN</t>
  </si>
  <si>
    <t>CASH_OUT_FLAG</t>
  </si>
  <si>
    <t>CHK_BRANCH_IS_ALLOWED</t>
  </si>
  <si>
    <t>FLAG_STD_CASHOUT_CALLSRV</t>
  </si>
  <si>
    <t>FLAG_STD_OFFSET_CALLSRV</t>
  </si>
  <si>
    <t>GET_VAT_VENDOR</t>
  </si>
  <si>
    <t>GET_AMOUNT_VENDOR</t>
  </si>
  <si>
    <t>MODIFY_PRINTSLIP_POP_INFO</t>
  </si>
  <si>
    <t>CASH_REPORT_FLAG</t>
  </si>
  <si>
    <t>MIN_AMT_PER_BILL</t>
  </si>
  <si>
    <t>MAX_AMT_PER_BILL</t>
  </si>
  <si>
    <t>DISPLAY_BILL</t>
  </si>
  <si>
    <t>CHK_UPDATE_SERVICE</t>
  </si>
  <si>
    <t>CHK_AMT_METHOD</t>
  </si>
  <si>
    <t>SERVICE_CHARGE_METHOD</t>
  </si>
  <si>
    <t>SEND_SMS_CONFRIM</t>
  </si>
  <si>
    <t>USE_BARCODE</t>
  </si>
  <si>
    <t>CONFIG_OPENSERVICE</t>
  </si>
  <si>
    <t>OPEN_CONFIRM_ALLDAY</t>
  </si>
  <si>
    <t>OR_NOT_ALLOW_AFTER_TIME</t>
  </si>
  <si>
    <t>INSERT_PRINTSLIP_METHOD</t>
  </si>
  <si>
    <t>CHK_UPDATE_CUS_TEL_NO</t>
  </si>
  <si>
    <t>REWARD_TYPE</t>
  </si>
  <si>
    <t>OFFLINE_SYSTEM_TYPE</t>
  </si>
  <si>
    <t>PROMOTION_PROCESS_STATUS</t>
  </si>
  <si>
    <t>PROMOTION_PROCESS_DATE</t>
  </si>
  <si>
    <t>CHK_UPDATE_VENDOR</t>
  </si>
  <si>
    <t>PARTIAL_VAT</t>
  </si>
  <si>
    <t>CHK_COUPON</t>
  </si>
  <si>
    <t>0994000160151</t>
  </si>
  <si>
    <t>07</t>
  </si>
  <si>
    <t>BKK</t>
  </si>
  <si>
    <t>WS_STDDB</t>
  </si>
  <si>
    <t>WS_ONLINE_TX</t>
  </si>
  <si>
    <t>WS_ONLINE_LOG</t>
  </si>
  <si>
    <t>FF</t>
  </si>
  <si>
    <t>00:00:00</t>
  </si>
  <si>
    <t>PARINDA</t>
  </si>
  <si>
    <t>TXID_NEXT_SEQ</t>
  </si>
  <si>
    <t>LOGID_NEXT_SEQ</t>
  </si>
  <si>
    <t>10972</t>
  </si>
  <si>
    <t>N</t>
  </si>
  <si>
    <t>1</t>
  </si>
  <si>
    <t>Y</t>
  </si>
  <si>
    <t>H</t>
  </si>
  <si>
    <t>2</t>
  </si>
  <si>
    <t>STD</t>
  </si>
  <si>
    <t>20:05</t>
  </si>
  <si>
    <t>A</t>
  </si>
  <si>
    <t>ONLSTD.WS_CLIENT_CHARGE</t>
  </si>
  <si>
    <t>❌ No Data</t>
  </si>
  <si>
    <t>ONLSTD.WS_CLIENT_CHARGE_STEP</t>
  </si>
  <si>
    <t>MIN_AMOUNT</t>
  </si>
  <si>
    <t>MAX_AMOUNT</t>
  </si>
  <si>
    <t>SERVICE_CHARGE_CENTRE</t>
  </si>
  <si>
    <t>SERVICE_CHARGE_PROVINCES</t>
  </si>
  <si>
    <t>49000.00</t>
  </si>
  <si>
    <t>10</t>
  </si>
  <si>
    <t>49000.25</t>
  </si>
  <si>
    <t>90000.00</t>
  </si>
  <si>
    <t>20</t>
  </si>
  <si>
    <t xml:space="preserve">ONLSTD.WS_CLIENT_AUTOFIXTX </t>
  </si>
  <si>
    <t>AUTOFIX_INTERVAL</t>
  </si>
  <si>
    <t>SERVER_RUN</t>
  </si>
  <si>
    <t>MAIL_LIMIT</t>
  </si>
  <si>
    <t>RESEND_BF2_TIME</t>
  </si>
  <si>
    <t>AUTO_MAKECOMPLETE</t>
  </si>
  <si>
    <t>RESEND_BF2_INTERVAL</t>
  </si>
  <si>
    <t>CHECK_ONPROCESS</t>
  </si>
  <si>
    <t>F1PRIORITY</t>
  </si>
  <si>
    <t>SEND_MAIL</t>
  </si>
  <si>
    <t>CHECK_RETURN_REF</t>
  </si>
  <si>
    <t>SEND_MAIL_PREVIOUS_HOUR</t>
  </si>
  <si>
    <t>360</t>
  </si>
  <si>
    <t>Test5Job1</t>
  </si>
  <si>
    <t>0</t>
  </si>
  <si>
    <t>3</t>
  </si>
  <si>
    <t>60</t>
  </si>
  <si>
    <t>ONLSTD.WS_CLIENT_AUTOFIXTX_CANCEL</t>
  </si>
  <si>
    <t>ONLSTD.WS_STD_SERVICE_LOOKUP</t>
  </si>
  <si>
    <t>LOOKUP_ID</t>
  </si>
  <si>
    <t>SERVICE_NAME</t>
  </si>
  <si>
    <t>WS_INF_ADDRESS</t>
  </si>
  <si>
    <t>SERVICE_ADDRESS</t>
  </si>
  <si>
    <t>SERV_ID</t>
  </si>
  <si>
    <t>SERVER_NAME</t>
  </si>
  <si>
    <t>DataExchange</t>
  </si>
  <si>
    <t>http://10.151.36.192:8080/COU_DCVENDORONLINE_1H_BKK/BKKCallVendorPort</t>
  </si>
  <si>
    <t>https://bkkwastepayapp-staging.bangkok.go.th/api/CounterServiceExchange</t>
  </si>
  <si>
    <t>JVM</t>
  </si>
  <si>
    <t>DataExchangeCancel</t>
  </si>
  <si>
    <t>DataExchangeConfirm</t>
  </si>
  <si>
    <t>OR</t>
  </si>
  <si>
    <t>ORCancel</t>
  </si>
  <si>
    <t>ORConfirm</t>
  </si>
  <si>
    <t>ONLSTD.WS_STD_ERROR_CODE</t>
  </si>
  <si>
    <t>ERROR_ID</t>
  </si>
  <si>
    <t>DESC_THAI</t>
  </si>
  <si>
    <t>DESC_ENG</t>
  </si>
  <si>
    <t>CLIENT_CODE</t>
  </si>
  <si>
    <t>91097202001</t>
  </si>
  <si>
    <t>Reference code is notfound</t>
  </si>
  <si>
    <t>91097202002</t>
  </si>
  <si>
    <t>Already paid</t>
  </si>
  <si>
    <t>91097202004</t>
  </si>
  <si>
    <t>Not match received_x000D_
amount</t>
  </si>
  <si>
    <t>91097202099</t>
  </si>
  <si>
    <t>System Error</t>
  </si>
  <si>
    <t>ONLSTD.WS_CLIENT_REPRINT</t>
  </si>
  <si>
    <t>ONLSTD.WS_CLIENT_REF</t>
  </si>
  <si>
    <t>REFERENCE_SEQ</t>
  </si>
  <si>
    <t>CHK_LEN</t>
  </si>
  <si>
    <t>CHK_LEN_EXTEN</t>
  </si>
  <si>
    <t>CHK_DUP</t>
  </si>
  <si>
    <t>CHK_PREFIX</t>
  </si>
  <si>
    <t>CHK_DIGIT_INTERNAL</t>
  </si>
  <si>
    <t>CHK_DIGIT_EXTERNAL</t>
  </si>
  <si>
    <t>CHK_LIMIT_CASHOUT_DUP</t>
  </si>
  <si>
    <t>CHK_COUNT_LIMIT_CASHOUT</t>
  </si>
  <si>
    <t>18</t>
  </si>
  <si>
    <t>ONLSTD.WS_CLIENT_RETURN</t>
  </si>
  <si>
    <t>ONLSTD.WS_CLIENT_LEN_EXTEN</t>
  </si>
  <si>
    <t>ONLSTD.WS_CLIENT_PREFIX</t>
  </si>
  <si>
    <t>ONLSTD.WS_CLIENT_GRP</t>
  </si>
  <si>
    <t>GRP_NAME</t>
  </si>
  <si>
    <t>VENDOR_ID_REFERENCE</t>
  </si>
  <si>
    <t>SERVICE_ID_REFERENCE</t>
  </si>
  <si>
    <t>JVM_NAME</t>
  </si>
  <si>
    <t>POS_URL</t>
  </si>
  <si>
    <t>GRP_VENDOR</t>
  </si>
  <si>
    <t>ONLGRP_WAS8</t>
  </si>
  <si>
    <t>DCONLINE</t>
  </si>
  <si>
    <t>http://10.160.108.67/DCWSCDSONLINE/WSCDSService</t>
  </si>
  <si>
    <t>No.</t>
  </si>
  <si>
    <t>Case</t>
  </si>
  <si>
    <t>Datatest</t>
  </si>
  <si>
    <t>Result</t>
  </si>
  <si>
    <t>ทำรายการ DataExchange</t>
  </si>
  <si>
    <t>true  /  100   /   success</t>
  </si>
  <si>
    <t>ทำรายการ Cancel ด้วย DataExchange</t>
  </si>
  <si>
    <t>ทำรายการ DataExchange  ด้วย DataExchange Cancel</t>
  </si>
  <si>
    <t>ทำรายการ DataExchangeConfirm</t>
  </si>
  <si>
    <t>ทำรายการ Or</t>
  </si>
  <si>
    <t>ทำรายการ OrCancel</t>
  </si>
  <si>
    <t>ทำรายการ OR ด้วยรายการ ORCancel</t>
  </si>
  <si>
    <t>ทำรายการ ORConfirm</t>
  </si>
  <si>
    <t>ทำรายการ Exchange ด้วย ORConfirm</t>
  </si>
  <si>
    <t>ทำรายการ Reprint (ภายในเวลาที่กำหนด) และมากกว่า 1 ครั้ง</t>
  </si>
  <si>
    <t>false / 208 / ผู้ว่าจ้างนี้ไม่อนุญาตให้ Reprint</t>
  </si>
  <si>
    <t>false  /  123   /   ความยาวข้อมูลไม่ถูกต้อง</t>
  </si>
  <si>
    <t>ยอดเงินเป็นค่า Null</t>
  </si>
  <si>
    <t>false  /  124   /   รับชำระจำนวนเงินขั้นต่ำ 1.00 บาท</t>
  </si>
  <si>
    <t>false  /  125   /   รับชำระไม่เกิน 90,000.00 บาท</t>
  </si>
  <si>
    <t>ตรวจสอบ ZONE 1 ขั้น1</t>
  </si>
  <si>
    <t>ตรวจสอบ ZONE 1 ขั้น2</t>
  </si>
  <si>
    <t>ตรวจสอบ ZONE 2 ขั้น1</t>
  </si>
  <si>
    <t>ตรวจสอบ ZONE 2 ขั้น2</t>
  </si>
  <si>
    <t>ยอดเงิน Min  1</t>
  </si>
  <si>
    <t>ยอดเงิน Max  90000</t>
  </si>
  <si>
    <t>ยอดเงินต่ำกว่า min   0</t>
  </si>
  <si>
    <t>ยอดเงินมากกว่า max  90001</t>
  </si>
  <si>
    <t>ยอดเงินเป็นทศนิยมลงตัว 500.25</t>
  </si>
  <si>
    <t>ยอดเงินเป็นทศนิยมไม่ลงตัว 500.24</t>
  </si>
  <si>
    <t>GROUP</t>
  </si>
  <si>
    <t>Duplicate  Status 1</t>
  </si>
  <si>
    <t>Duplicate  Status 2</t>
  </si>
  <si>
    <t>Duplicate  Status 3</t>
  </si>
  <si>
    <t>Duplicate  Status 4</t>
  </si>
  <si>
    <t>Duplicate  Status 5</t>
  </si>
  <si>
    <t>Duplicate  Status 6</t>
  </si>
  <si>
    <t>Duplicate  Status 7</t>
  </si>
  <si>
    <t>Duplicate  Status 8</t>
  </si>
  <si>
    <t>Duplicate  Status 9</t>
  </si>
  <si>
    <t>Duplicate  1  Ref</t>
  </si>
  <si>
    <t>ทำรายการยอดเงินไม่ตรงกับระบบ</t>
  </si>
  <si>
    <t>ทำรายการ Data ไม่ตรงกับ ระบบ</t>
  </si>
  <si>
    <t>Flow</t>
  </si>
  <si>
    <t>Validation</t>
  </si>
  <si>
    <t>Fee</t>
  </si>
  <si>
    <t>Duplicate</t>
  </si>
  <si>
    <t>Status</t>
  </si>
  <si>
    <t>Remark</t>
  </si>
  <si>
    <t>อื่นๆ</t>
  </si>
  <si>
    <t>ทำรายการ  DataExchange  Ref 1  ความยาวมากกว่า 18 หลัก</t>
  </si>
  <si>
    <t>ทำรายการ  DataExchange  Ref 1   ความยาวน้อยกว่า 18 หลัก</t>
  </si>
  <si>
    <t>ทำรายการ  DataExchange  Ref 1  ความยาวเท่ากับ 18 หลัก</t>
  </si>
  <si>
    <t>ทำรายการ  DataExchange  Ref 1  ความยาว null  หลัก</t>
  </si>
  <si>
    <t>ทำรายการ  DataExchange  Ref 2 ความยาวมากกว่า 18 หลัก</t>
  </si>
  <si>
    <t>ทำรายการ  DataExchange  Ref 2  ความยาวน้อยกว่า 18 หลัก</t>
  </si>
  <si>
    <t>ทำรายการ  DataExchange  Ref 2  ความยาวเท่ากับ 18 หลัก</t>
  </si>
  <si>
    <t>ทำรายการ  DataExchange  Ref 3  ความยาวมากกว่า 10 หลัก</t>
  </si>
  <si>
    <t>ทำรายการ  DataExchange  Ref 3  ความยาวน้อยกว่า 10 หลัก</t>
  </si>
  <si>
    <t>ทำรายการ  DataExchange  Ref 3  ความยาวเท่ากับ 10 หลัก</t>
  </si>
  <si>
    <t>ทำรายการ  DataExchange Ref 3  ความยาว null  หลัก</t>
  </si>
  <si>
    <t>ทำรายการ  DataExchange  Ref 2  ความยาว null 18 หลัก</t>
  </si>
  <si>
    <t>false  /  119   /  ขออภัยปิดปรับปรุง 30 นาที</t>
  </si>
  <si>
    <t>ไม่มี Dataทดสอบ</t>
  </si>
  <si>
    <t>0 บาท</t>
  </si>
  <si>
    <t>1000000  บาท</t>
  </si>
  <si>
    <t>true  /  91097202004   /   ยอดชำระเงิน ไม่ตรงกับที่กำหนดไว้</t>
  </si>
  <si>
    <t>true  /  91097202001   /   ไม่พบ ref1 หรือ ref2 ที่ตรงกัน</t>
  </si>
  <si>
    <t>true  /  311   /   มีการรับชำระรายการนี้อยู่แล้ว ในฐานข้อมูล โดยร้านสาขา X /เครื่อง Y</t>
  </si>
  <si>
    <t>true  /  131   /   การรับชำระไม่สมบูรณ์ โดยร้านสาขา X /เครื่อง Y</t>
  </si>
  <si>
    <t>AutoFix_Cancel  กรณีที่รายการรับชำระค้าง Status 1 (BF1) ที่ระบบ Online และไม่มีรายการดังกล่าวที่ POS  ทำรายการ Status = 1 ค้างที่ online</t>
  </si>
  <si>
    <t>ก่อนซ่อมรายการ</t>
  </si>
  <si>
    <t>DB : WS_ONLINE_TX</t>
  </si>
  <si>
    <t>TX_ID</t>
  </si>
  <si>
    <t>SERVICE_CODE</t>
  </si>
  <si>
    <t>COUNTER_NO</t>
  </si>
  <si>
    <t>TERM_NO</t>
  </si>
  <si>
    <t>POS_TAX_ID</t>
  </si>
  <si>
    <t>SERVICE_RUN_NO</t>
  </si>
  <si>
    <t>RECORD_STATUS</t>
  </si>
  <si>
    <t>OPERATING_DATE_TIME</t>
  </si>
  <si>
    <t>CLIENT_SERVICE_NO</t>
  </si>
  <si>
    <t>CLIENT_SERVICE_RUNNO</t>
  </si>
  <si>
    <t>VAT_RATE</t>
  </si>
  <si>
    <t>AMOUNT_RECEIVED</t>
  </si>
  <si>
    <t>VAT_AMOUNT</t>
  </si>
  <si>
    <t>BILL_TYPE</t>
  </si>
  <si>
    <t>BILL_NO</t>
  </si>
  <si>
    <t>CUSTOMER_NAME</t>
  </si>
  <si>
    <t>CUSTOMER_ADDR_1</t>
  </si>
  <si>
    <t>CUSTOMER_ADDR_2</t>
  </si>
  <si>
    <t>CUSTOMER_ADDR_3</t>
  </si>
  <si>
    <t>CUSTOMER_TEL_NO</t>
  </si>
  <si>
    <t>REFERENCE_1</t>
  </si>
  <si>
    <t>REFERENCE_2</t>
  </si>
  <si>
    <t>REFERENCE_3</t>
  </si>
  <si>
    <t>REFERENCE_4</t>
  </si>
  <si>
    <t>REFERENCE_5</t>
  </si>
  <si>
    <t>REFERENCE_6</t>
  </si>
  <si>
    <t>REFERENCE_7</t>
  </si>
  <si>
    <t>COMM_PAID_CODE</t>
  </si>
  <si>
    <t>ZONE</t>
  </si>
  <si>
    <t>R_SERVICE_RUNNO</t>
  </si>
  <si>
    <t>CANCEL_OPERATING</t>
  </si>
  <si>
    <t>OPERATE_BY_STAFF</t>
  </si>
  <si>
    <t>OPERATING_ROUND</t>
  </si>
  <si>
    <t>TEL_CODE</t>
  </si>
  <si>
    <t>FILLER</t>
  </si>
  <si>
    <t>TRX_TYPE</t>
  </si>
  <si>
    <t>STATUS</t>
  </si>
  <si>
    <t>SYSTEM_DATE_TIME</t>
  </si>
  <si>
    <t>RETRY_COUNT</t>
  </si>
  <si>
    <t>SENDMAIL_COUNT</t>
  </si>
  <si>
    <t>PAYMENT_CHANNEL</t>
  </si>
  <si>
    <t>TRANSACTION_ID</t>
  </si>
  <si>
    <t>CLIENT_CODE_FR</t>
  </si>
  <si>
    <t>SERVICE_CODE_FR</t>
  </si>
  <si>
    <t>RETRY_COUNT_CANCEL</t>
  </si>
  <si>
    <t>TIMEOUT_COUNT_CANCEL</t>
  </si>
  <si>
    <t>AMOUNT_RECEIVED_VENDOR</t>
  </si>
  <si>
    <t>VAT_AMOUNT_VENDOR</t>
  </si>
  <si>
    <t>POS_SYSTEM_DATE_TIME</t>
  </si>
  <si>
    <t>REFERENCE_9</t>
  </si>
  <si>
    <t>CANCEL_ID</t>
  </si>
  <si>
    <t>RETURN1</t>
  </si>
  <si>
    <t>RETURN2</t>
  </si>
  <si>
    <t>RETURN3</t>
  </si>
  <si>
    <t>COUPON_STATUS</t>
  </si>
  <si>
    <t>CUSTOMER_TAX_ID</t>
  </si>
  <si>
    <t>CUSTOMER_BRANCH_CODE</t>
  </si>
  <si>
    <t>CUSTOMER_RECEIPT_NAME</t>
  </si>
  <si>
    <t>CUSTOMER_RECEIPT_ADDR</t>
  </si>
  <si>
    <t>OFFLINE_TXN</t>
  </si>
  <si>
    <t>ITOUCH_COUNTER_NO</t>
  </si>
  <si>
    <t>ITOUCH_TERM_NO</t>
  </si>
  <si>
    <t>ITOUCH_PAYMENT_CHANNEL</t>
  </si>
  <si>
    <t>14026271</t>
  </si>
  <si>
    <t>087</t>
  </si>
  <si>
    <t>01</t>
  </si>
  <si>
    <t>01322</t>
  </si>
  <si>
    <t>9/9/2020 10:07:31</t>
  </si>
  <si>
    <t>7.0</t>
  </si>
  <si>
    <t>2000</t>
  </si>
  <si>
    <t>B</t>
  </si>
  <si>
    <t>5100110108640</t>
  </si>
  <si>
    <t>กก0001</t>
  </si>
  <si>
    <t>NOBILL</t>
  </si>
  <si>
    <t>REALTIME</t>
  </si>
  <si>
    <t>9/9/2020 11:24:49</t>
  </si>
  <si>
    <t>8</t>
  </si>
  <si>
    <t>C05</t>
  </si>
  <si>
    <t>14026272</t>
  </si>
  <si>
    <t>CS</t>
  </si>
  <si>
    <t>S</t>
  </si>
  <si>
    <t>15.00</t>
  </si>
  <si>
    <t>3011106624</t>
  </si>
  <si>
    <t>หลังซ่อมรายการ</t>
  </si>
  <si>
    <t>BF1ONLSTD</t>
  </si>
  <si>
    <t>5</t>
  </si>
  <si>
    <t>9/9/2020 11:29:10</t>
  </si>
  <si>
    <t>DB : WS_ONLINE_LOG</t>
  </si>
  <si>
    <t>EVENT</t>
  </si>
  <si>
    <t>SUCCESS</t>
  </si>
  <si>
    <t>CODE</t>
  </si>
  <si>
    <t>BUSINESS_DATE</t>
  </si>
  <si>
    <t>BUSINESS_TIME</t>
  </si>
  <si>
    <t>SYSTEM_DATE</t>
  </si>
  <si>
    <t>SYSTEM_TIME</t>
  </si>
  <si>
    <t>USER_ID</t>
  </si>
  <si>
    <t>DB_IP_POS</t>
  </si>
  <si>
    <t>EVENT_STEP</t>
  </si>
  <si>
    <t>HQ_SERVER</t>
  </si>
  <si>
    <t>POS_SYSTEM_DATE</t>
  </si>
  <si>
    <t>POS_SYSTEM_TIME</t>
  </si>
  <si>
    <t>LOG_FILE_ID</t>
  </si>
  <si>
    <t>53809781</t>
  </si>
  <si>
    <t>00</t>
  </si>
  <si>
    <t>GEODataExchange</t>
  </si>
  <si>
    <t>true</t>
  </si>
  <si>
    <t>100</t>
  </si>
  <si>
    <t>2020/09/09</t>
  </si>
  <si>
    <t>10:07:31</t>
  </si>
  <si>
    <t>09/09/2020</t>
  </si>
  <si>
    <t>11:24:49</t>
  </si>
  <si>
    <t>10.182.247.103</t>
  </si>
  <si>
    <t>csonlapqa02.30680046</t>
  </si>
  <si>
    <t>53809782</t>
  </si>
  <si>
    <t>53809829</t>
  </si>
  <si>
    <t>GEODataExchangeCancel</t>
  </si>
  <si>
    <t>11:29:10</t>
  </si>
  <si>
    <t>117.113.122.111</t>
  </si>
  <si>
    <t>csonlapqa02.30680084</t>
  </si>
  <si>
    <t>LOG FILE</t>
  </si>
  <si>
    <t>AutoFix_Confirm  กรณีที่รายการรับชำระค้าง Status 1 (BF1) ที่ระบบ Online และมีรายการดังกล่าวที่ POS  ทำรายการ Status = 3 ปรับเป็น 1</t>
  </si>
  <si>
    <t>วิธีการทดสอบ (กรณียังไม่มีโปรแกรมที่หน้าร้าน)</t>
  </si>
  <si>
    <t>1. ทำรายการที่เครื่อง POS  1 รายการ ได้ใบเสร็จ (  Status = 3  )</t>
  </si>
  <si>
    <t>2.  ทำรายการที่ SIMU  1 รายการ Confirm (  Status = 3  )</t>
  </si>
  <si>
    <t>3. รายการที่ POS  ให้แก้ (TX.ID ,Client_ID,ข้อมูลรับชำระ เช่น ref1. , ref2. ,billAmount ให้เป็นรายการเหมือนที่ SIMU ) ที่ Table DB  TC_DETAIL ,TC_ONLINE_PROCESS ให้ตรงกับรายการที่ SIMU</t>
  </si>
  <si>
    <t>4. รายการที่ SIMU  ให้แก้ COUNTER_NO ให้ตรงกับที่ POS และลบ Column  SERVICE_RUN_NO และ Column  CLIENT_SERVICE_RUN_NO ที่ Table DB WS_ONLINE_TX</t>
  </si>
  <si>
    <t xml:space="preserve">5. แก้  Status ที่ Online </t>
  </si>
  <si>
    <t>14026295</t>
  </si>
  <si>
    <t>11104</t>
  </si>
  <si>
    <t>1110412345678</t>
  </si>
  <si>
    <t>14/9/2020 2:22:52</t>
  </si>
  <si>
    <t>6.54</t>
  </si>
  <si>
    <t>E</t>
  </si>
  <si>
    <t>0718352277370</t>
  </si>
  <si>
    <t>0555502</t>
  </si>
  <si>
    <t>9/9/2020 11:57:48</t>
  </si>
  <si>
    <t>14026296</t>
  </si>
  <si>
    <t>000029</t>
  </si>
  <si>
    <t>000009</t>
  </si>
  <si>
    <t>15</t>
  </si>
  <si>
    <t>0.98</t>
  </si>
  <si>
    <t>9</t>
  </si>
  <si>
    <t>000028</t>
  </si>
  <si>
    <t>000001</t>
  </si>
  <si>
    <t>100.00</t>
  </si>
  <si>
    <t>9/9/2020 13:35:28</t>
  </si>
  <si>
    <t>53810126</t>
  </si>
  <si>
    <t>2020/09/14</t>
  </si>
  <si>
    <t>02:22:52</t>
  </si>
  <si>
    <t>11:56:14</t>
  </si>
  <si>
    <t>csonlapqa02.30680325</t>
  </si>
  <si>
    <t>53810127</t>
  </si>
  <si>
    <t>53810136</t>
  </si>
  <si>
    <t>GEODataExchangeConfirm</t>
  </si>
  <si>
    <t>02:23:28</t>
  </si>
  <si>
    <t>11:57:48</t>
  </si>
  <si>
    <t>csonlapqa02.30680329</t>
  </si>
  <si>
    <t>53810137</t>
  </si>
  <si>
    <t>53810579</t>
  </si>
  <si>
    <t>13:35:28</t>
  </si>
  <si>
    <t>117.113.122.167</t>
  </si>
  <si>
    <t>csonlapqa02.30680351</t>
  </si>
  <si>
    <t xml:space="preserve">AutoFix_OR CANCEL  กรณีที่รายการรับชำระค้าง (BF1) ที่ระบบ Online และไม่มีรายการดังกล่าวที่ POS  ทำรายการ Status = 6 ค้างที่ online </t>
  </si>
  <si>
    <t>14026277</t>
  </si>
  <si>
    <t>026277</t>
  </si>
  <si>
    <t>130.84</t>
  </si>
  <si>
    <t>1000210166079</t>
  </si>
  <si>
    <t>0311655926060</t>
  </si>
  <si>
    <t>9/9/2020 11:41:16</t>
  </si>
  <si>
    <t>14026278</t>
  </si>
  <si>
    <t>026278</t>
  </si>
  <si>
    <t>14026289</t>
  </si>
  <si>
    <t>C</t>
  </si>
  <si>
    <t>-2000</t>
  </si>
  <si>
    <t>9/9/2020 11:46:59</t>
  </si>
  <si>
    <t>R</t>
  </si>
  <si>
    <t>6</t>
  </si>
  <si>
    <t>14026290</t>
  </si>
  <si>
    <t>-15.00</t>
  </si>
  <si>
    <t>9/9/2020 11:50:24</t>
  </si>
  <si>
    <t>53810017</t>
  </si>
  <si>
    <t>11:39:20</t>
  </si>
  <si>
    <t>csonlapqa02.30680290</t>
  </si>
  <si>
    <t>53810018</t>
  </si>
  <si>
    <t>53810026</t>
  </si>
  <si>
    <t>false</t>
  </si>
  <si>
    <t>114</t>
  </si>
  <si>
    <t>11:40:42</t>
  </si>
  <si>
    <t>csonlapqa02.30680294</t>
  </si>
  <si>
    <t>53810027</t>
  </si>
  <si>
    <t>53810031</t>
  </si>
  <si>
    <t>11:41:16</t>
  </si>
  <si>
    <t>csonlapqa02.30680296</t>
  </si>
  <si>
    <t>53810032</t>
  </si>
  <si>
    <t>53810079</t>
  </si>
  <si>
    <t>GEOOR</t>
  </si>
  <si>
    <t>11:46:59</t>
  </si>
  <si>
    <t>csonlapqa02.30680311</t>
  </si>
  <si>
    <t>53810080</t>
  </si>
  <si>
    <t>53810102</t>
  </si>
  <si>
    <t>GEOORCancel</t>
  </si>
  <si>
    <t>11:50:24</t>
  </si>
  <si>
    <t>csonlapqa02.30680321</t>
  </si>
  <si>
    <t>AutoFix_ORConfirm กรณีที่รายการรับชำระค้าง Status 1 (BF1) ที่ระบบ Online และมีรายการดังกล่าวที่ POS  ทำรายการ Status = 9 แก้เป็น 6</t>
  </si>
  <si>
    <t>วิธีการทดสอบ</t>
  </si>
  <si>
    <t>1. ทำรายการที่เครื่อง POS  1 รายการ ได้ใบเสร็จแล้ว OR (  Status = 9  )</t>
  </si>
  <si>
    <t>2.  ทำรายการที่ SIMU  1 รายการ ORConfirm (  Status = 9  )</t>
  </si>
  <si>
    <t>3. รายการที่ POS  ให้แก้ (TX.ID ,Client code ให้เป็นรายการเหมือนที่ SIMU ) ที่ Table DB  CT_DETAIL ,CT_ONLINE_PROCESS ให้ตรงกับรายการที่ SIMU</t>
  </si>
  <si>
    <t>หมายเหตุ : ที่ DB ลบ Column  SERVICE_RUN_NO และ Column  CLIENT_SERVICE_RUN_NO ออกด้วยถึงจะซ่อม AutoFix สำเร็จ (รายการที่ยิงผ่าน POS และ SIMU)</t>
  </si>
  <si>
    <t>14026338</t>
  </si>
  <si>
    <t>000032</t>
  </si>
  <si>
    <t>14/9/2020 4:20:41</t>
  </si>
  <si>
    <t>000002</t>
  </si>
  <si>
    <t>300</t>
  </si>
  <si>
    <t>19.63</t>
  </si>
  <si>
    <t>9/9/2020 13:55:05</t>
  </si>
  <si>
    <t>14026339</t>
  </si>
  <si>
    <t>000033</t>
  </si>
  <si>
    <t>000010</t>
  </si>
  <si>
    <t>14026340</t>
  </si>
  <si>
    <t>-300</t>
  </si>
  <si>
    <t>-19.63</t>
  </si>
  <si>
    <t>9/9/2020 13:55:43</t>
  </si>
  <si>
    <t>9/9/2020 13:55:55</t>
  </si>
  <si>
    <t>14026341</t>
  </si>
  <si>
    <t>000035</t>
  </si>
  <si>
    <t>-15</t>
  </si>
  <si>
    <t>-0.98</t>
  </si>
  <si>
    <t>000034</t>
  </si>
  <si>
    <t>-300.00</t>
  </si>
  <si>
    <t>9/9/2020 13:59:42</t>
  </si>
  <si>
    <t>53810709</t>
  </si>
  <si>
    <t>04:20:41</t>
  </si>
  <si>
    <t>13:54:47</t>
  </si>
  <si>
    <t>csonlapqa02.30680409</t>
  </si>
  <si>
    <t>53810710</t>
  </si>
  <si>
    <t>53810712</t>
  </si>
  <si>
    <t>04:21:57</t>
  </si>
  <si>
    <t>13:55:05</t>
  </si>
  <si>
    <t>csonlapqa02.30680411</t>
  </si>
  <si>
    <t>53810713</t>
  </si>
  <si>
    <t>53810719</t>
  </si>
  <si>
    <t>13:55:44</t>
  </si>
  <si>
    <t>csonlapqa02.30680413</t>
  </si>
  <si>
    <t>53810720</t>
  </si>
  <si>
    <t>53810721</t>
  </si>
  <si>
    <t>GEOORConfirm</t>
  </si>
  <si>
    <t>04:22:50</t>
  </si>
  <si>
    <t>13:55:55</t>
  </si>
  <si>
    <t>csonlapqa02.30680415</t>
  </si>
  <si>
    <t>53810722</t>
  </si>
  <si>
    <t>53810755</t>
  </si>
  <si>
    <t>13:59:42</t>
  </si>
  <si>
    <t>csonlapqa02.30680431</t>
  </si>
  <si>
    <t>FROM ONLSTD.WS_ONLINE_LOG</t>
  </si>
  <si>
    <t>FROM ONLSTD.WS_ONLINE_TX</t>
  </si>
  <si>
    <t>ระบบไม่กำหนดให้ทำ Auto Make Complete</t>
  </si>
  <si>
    <t xml:space="preserve"> Auto Make Complete BF2 </t>
  </si>
  <si>
    <t>csonlapqa02.30680527</t>
  </si>
  <si>
    <t>BF2ONLSTD</t>
  </si>
  <si>
    <t>14:25:45</t>
  </si>
  <si>
    <t>53810949</t>
  </si>
  <si>
    <t>9/9/2020 14:25:45</t>
  </si>
  <si>
    <t>AutoResend_ORConfirm  ทำรายการ Status = 9 แก้เป็น 8</t>
  </si>
  <si>
    <t>csonlapqa02.30680483</t>
  </si>
  <si>
    <t>04:34:49</t>
  </si>
  <si>
    <t>14:13:43</t>
  </si>
  <si>
    <t>14026370</t>
  </si>
  <si>
    <t>53810846</t>
  </si>
  <si>
    <t>csonlapqa02.30680465</t>
  </si>
  <si>
    <t>04:35:11</t>
  </si>
  <si>
    <t>14:08:21</t>
  </si>
  <si>
    <t>14026371</t>
  </si>
  <si>
    <t>53810818</t>
  </si>
  <si>
    <t>53810817</t>
  </si>
  <si>
    <t>csonlapqa02.30680463</t>
  </si>
  <si>
    <t>14:08:01</t>
  </si>
  <si>
    <t>53810815</t>
  </si>
  <si>
    <t>53810814</t>
  </si>
  <si>
    <t>14/9/2020 4:34:49</t>
  </si>
  <si>
    <t>9/9/2020 14:08:21</t>
  </si>
  <si>
    <t>11</t>
  </si>
  <si>
    <t>000011</t>
  </si>
  <si>
    <t>000037</t>
  </si>
  <si>
    <t>9/9/2020 14:13:43</t>
  </si>
  <si>
    <t>32.71</t>
  </si>
  <si>
    <t>500.00</t>
  </si>
  <si>
    <t>000003</t>
  </si>
  <si>
    <t>000036</t>
  </si>
  <si>
    <t>500</t>
  </si>
  <si>
    <t xml:space="preserve">เช่นกรณีผวจ.เป็น Status3 แล้ว แต่ระหว่างส่งข้อมูลกลับเกิด Time out ทำให้ฝั่ง CS ยังค้าง Status2 ==&gt; ทดสอบโดย ทำรายการ Status = 3 แก้เป็น 2  </t>
  </si>
  <si>
    <t xml:space="preserve">AutoResend_Confirm (ส่ง Confirm ซ้ำ)  </t>
  </si>
  <si>
    <t>AutoResend_Confirm  (กรณีส่งหาผวจ.ไม่สำเร็จ เช่น ติดต่อผู้ว่าจ้างไม่ได้ , Timeout จากผู้ว่าจ้าง)</t>
  </si>
  <si>
    <t>TEST DESCRIPTION</t>
  </si>
  <si>
    <t>TEST ENVIRONMENT</t>
  </si>
  <si>
    <t>Priority Type</t>
  </si>
  <si>
    <t>Count Priority</t>
  </si>
  <si>
    <t>PROJECT/SR CODE:</t>
  </si>
  <si>
    <t>TEST ENVIRONMENT ID:</t>
  </si>
  <si>
    <t>Priority - 1</t>
  </si>
  <si>
    <r>
      <t>PROJECT NAME/ SR DETAIL:</t>
    </r>
    <r>
      <rPr>
        <b/>
        <sz val="8"/>
        <rFont val="Arial"/>
        <family val="2"/>
        <charset val="222"/>
      </rPr>
      <t xml:space="preserve">   </t>
    </r>
  </si>
  <si>
    <t>ENVIRONMENT:</t>
  </si>
  <si>
    <t>Priority - 2</t>
  </si>
  <si>
    <t>TEST PHASE:</t>
  </si>
  <si>
    <t>Integration</t>
  </si>
  <si>
    <t>OTHERS :</t>
  </si>
  <si>
    <t>PC/NOTEBOOK CAPABILITIES:SimulatorWAS7V25 V15.0.0.0</t>
  </si>
  <si>
    <t>Memory:</t>
  </si>
  <si>
    <t>Harddisk:</t>
  </si>
  <si>
    <t>Priority - 3</t>
  </si>
  <si>
    <t>TEST CASE NO.:</t>
  </si>
  <si>
    <t>VERSION :</t>
  </si>
  <si>
    <t>CPU Speed:</t>
  </si>
  <si>
    <t xml:space="preserve">Others </t>
  </si>
  <si>
    <t>TEST CASE NAME :</t>
  </si>
  <si>
    <t>SERVER CAPABILITIES:Toad for Oracle 9.0.1</t>
  </si>
  <si>
    <t>Harddisk:Harddisk: 7.48 MB</t>
  </si>
  <si>
    <t>TEST OBJECTIVE:</t>
  </si>
  <si>
    <t>โปรแกรมสามารถทำงานได้ถูกต้องตามเงื่อนไข Requirement</t>
  </si>
  <si>
    <t>TEST DATE:</t>
  </si>
  <si>
    <t xml:space="preserve">NUMBER OF TESTING ROUND: </t>
  </si>
  <si>
    <t>DATABASE CAPABILITIES:</t>
  </si>
  <si>
    <t>PRE-CONDITION:</t>
  </si>
  <si>
    <t>SPECIAL NOTES:</t>
  </si>
  <si>
    <t>REFERENCE DOCUMENTS :</t>
  </si>
  <si>
    <t xml:space="preserve">OS :  NoteBook &gt; System type 32 - bit operating System
Microsoft Windows 7 Professional   </t>
  </si>
  <si>
    <t>TOTAL TIME USED TO EXECUTE THIS TEST CASE:</t>
  </si>
  <si>
    <t>2 MD</t>
  </si>
  <si>
    <r>
      <t>WEB BROWSER :</t>
    </r>
    <r>
      <rPr>
        <b/>
        <sz val="14"/>
        <color indexed="18"/>
        <rFont val="Cordia New"/>
        <family val="2"/>
      </rPr>
      <t xml:space="preserve">  Internet Explorer 8, Google Chrome เวอร์ชัน 62.0.3202.94 (32 บิต)</t>
    </r>
  </si>
  <si>
    <t>PREPARED BY:</t>
  </si>
  <si>
    <t>REVIEWED BY:</t>
  </si>
  <si>
    <t>Step No</t>
  </si>
  <si>
    <t>Updated</t>
  </si>
  <si>
    <t>VP</t>
  </si>
  <si>
    <t>Test case / script</t>
  </si>
  <si>
    <t>Data</t>
  </si>
  <si>
    <t>Expected Results</t>
  </si>
  <si>
    <t>Actual Results</t>
  </si>
  <si>
    <t>Test Status</t>
  </si>
  <si>
    <t>Test time</t>
  </si>
  <si>
    <t>Reproduct/Remark</t>
  </si>
  <si>
    <t>P1</t>
  </si>
  <si>
    <t>ตรวจสอบการกำหนดค่า ระยะเวลาที่สามารถทำรายการ OR ได้ 
ที่ DB ONLSTD TBL = WS_CLIENT_CONFIG</t>
  </si>
  <si>
    <t>อ้างอิง ROW ที่ VENDOR_ID = Tax_ID ของผวจ.ดังกล่าว
SERVICE_ID = รหัส Service ของผวจ.ดังกล่าว
- ที่ Field OR_TIMEOUT = ระยะเวลาหลัง Confirm รายการ/วินาที</t>
  </si>
  <si>
    <t>Pass</t>
  </si>
  <si>
    <t>ตรวจสอบการกำหนดค่า ยอดเงินต่ำสุดที่สามารถรับชำระได้ 
ที่ DB ONLSTD TBL = WS_CLIENT_CONFIG</t>
  </si>
  <si>
    <t>อ้างอิง ROW ที่ VENDOR_ID = Tax_ID ของผวจ.ดังกล่าว
SERVICE_ID = รหัส Service ของผวจ.ดังกล่าว
- ที่ Field MIN_AMT = จำนวนเงินต่ำสุดที่สามารถรับชำระได้</t>
  </si>
  <si>
    <t>อ้างอิง ROW ที่ VENDOR_ID = Tax_ID ของผวจ.ดังกล่าว
SERVICE_ID = รหัส Service ของผวจ.ดังกล่าว
- ที่ Field MAX_AMT = กำหนดจำนวนเงินสูงสุดที่สามารถรับชำระได้</t>
  </si>
  <si>
    <t>ตรวจสอบการกำหนดรูปแบบการคิดค่าบริการ
ที่ DB ONLSTD TBL = WS_CLIENT_CONFIG</t>
  </si>
  <si>
    <t>ตรวจสอบการกำหนดค่า Solution ในการพัฒนาระบบ
ที่ DB ONLSTD TBL = WS_CLIENT_CONFIG</t>
  </si>
  <si>
    <t xml:space="preserve">อ้างอิง ROW ที่ VENDOR_ID = Tax_ID ของผวจ.ดังกล่าว
SERVICE_ID = รหัส Service ของผวจ.ดังกล่าว
- ที่ Field SYSTEM_TYPE = Solution ในการพัฒนาระบบ
F มาจาก Full 
H มาจาก Half 
ตำแหน่งแรก จะหมายถึงขา Exchange
ตำแหน่งสองจะหมายถึงขา Confirm 
F หมายถึงมีการเรียกมาถึง step ที่ config  url ไว้ 
H หมายถึงไม่มีการเรียก config  url </t>
  </si>
  <si>
    <t>ตรวจสอบการกำหนดค่า Error Code 
ที่ DB ONLSTD TBL = WS_STD_ERROR_CODE</t>
  </si>
  <si>
    <t>ตรวจสอบการกำหนดค่า Reprint 
ที่ DB ONLSTD TBL WS_CLIENT_REPRINT</t>
  </si>
  <si>
    <t>ตรวจสอบการกำหนดค่า  SERVICE_ADDRESS 
ที่ DB ONLSTD TBL = WS_STD_SERVICE_LOOKUP</t>
  </si>
  <si>
    <t>ตรวจสอบการกำหนดค่า URL Check Digit  / Check Length
ที่ DB ONLSTD TBL WS_CLIENT_REF</t>
  </si>
  <si>
    <t>ตรวจสอบการกำหนดค่า Return
ที่ DB ONLSTD TBL WS_CLIENT_RETURN</t>
  </si>
  <si>
    <t>ตรวจสอบการกำหนดค่า URL Check Digit  / Check Length
ที่ DB ONLSTD TBL  WS_CLIENT_LEN_EXTEN</t>
  </si>
  <si>
    <t xml:space="preserve">ตรวจสอบการกำหนดค่า PREFIX 
ที่ DB ONLSTD TBL WS_CLIENT_PREFIX </t>
  </si>
  <si>
    <t>ตรวจสอบการบันทึก LOG FILE การทำงานของ ผวจ. ดังกล่าว</t>
  </si>
  <si>
    <t>1. ระบบแสดงข้อความแจ้งเตือนว่า 
false  / 114 / มีปัญหาในการค้นหาเว็บเซอร์วิสในฐานข้อมูล
2. ระบบไม่บันทึกข้อมูลลงฐานข้อมูล table ws_online_tx</t>
  </si>
  <si>
    <t>*** message ใน printslip online เก็บได้ 4000 ตัวอักษร ฉะนั้น online จะส่งไปทั้งหมด ร้านจะเป็นคนตัดเองว่าต้องการแสดงกี่หลัก</t>
  </si>
  <si>
    <t>ตรวจสอบการทำงานของ Method: DataExchangeConfirm</t>
  </si>
  <si>
    <t>1. UPDATE รายการที่ ONLSTD.WS_ONLINE_TX จาก Status = 1 เป็น 3
และบันทึกค่า SERVICE_RUN_NO CLIENT_SERVICE_RUNNO
2. INSERT LOG ที่ table ONLSTD.WS_ONLINE_LOG
ด้วย TX_ID เดียวกับข้อ 1</t>
  </si>
  <si>
    <t>ตรวจสอบการรับชำระรายการโดย Method: Reprint</t>
  </si>
  <si>
    <t>แก้ Config ที่ DB ONLSTD TBL WS_CLIENT_REPRINT ที่ Field REPRINT_LIMIT</t>
  </si>
  <si>
    <t>ตรวจสอบการรับชำระรายการโดย Method: ORCancel</t>
  </si>
  <si>
    <t>1. UPDATE รายการ OR ที่ ONLSTD.WS_ONLINE_TX จาก Status = 6 เป็น 5
2. INSERT LOG ที่ table ONLSTD.WS_ONLINE_LOG
ด้วย TX_ID เดียวกับข้อ 1</t>
  </si>
  <si>
    <t>1. INSERT รายการที่ ONLSTD.WS_ONLINE_TX ด้วย TX_ID ใหม่
โดยรายการดังกล่าวจะมี Status = 6 
2. INSERT LOG ที่ table ONLSTD.WS_ONLINE_LOG
ด้วย TX_ID เดียวกับข้อ 1</t>
  </si>
  <si>
    <t>ตรวจสอบการรับชำระรายการโดย Method: OR และ ORConfirm</t>
  </si>
  <si>
    <t>1. UPDATE รายการ OR ที่ ONLSTD.WS_ONLINE_TX จาก Status = 6 เป็น 9
2. INSERT LOG ที่ table ONLSTD.WS_ONLINE_LOG
ด้วย TX_ID เดียวกับข้อ 1</t>
  </si>
  <si>
    <t>1. INSERT รายการที่ ONLSTD.WS_ONLINE_TX ด้วย TX_ID ใหม่
โดยรายการดังกล่าวจะมี Status = 1 
2. INSERT LOG ที่ table ONLSTD.WS_ONLINE_LOG
ด้วย TX_ID เดียวกับข้อ 1</t>
  </si>
  <si>
    <t>1. ระบบแสดงข้อความแจ้งเตือนว่า : false  /  135   /   เกินกำหนดเวลาทำรายการยกเลิก  
2. ที่ ONLSTD.WS_ONLINE_TX จาก Status = 3 ไม่มีการเปลี่ยนแปลง
3. ที่ ONLSTD.WS_ONLINE_LOG &gt;&gt;&gt; SUCCESS = False , Status = 0</t>
  </si>
  <si>
    <t>1.   ระบบแสดงข้อความแจ้งเตือนว่า : false  / 175  ไม่สามารถยกเลิกรายการรับชำระข้ามวันได้                                                
2. ที่ ONLSTD.WS_ONLINE_TX จาก Status = 3 ไม่มีการเปลี่ยนแปลง
3. ที่ ONLSTD.WS_ONLINE_LOG &gt;&gt;&gt; SUCCESS = False , Status = 0</t>
  </si>
  <si>
    <t>ตรวจสอบการรับชำระรายการโดย Method: DataExchangeCancel</t>
  </si>
  <si>
    <r>
      <rPr>
        <b/>
        <sz val="14"/>
        <rFont val="CordiaUPC"/>
        <family val="2"/>
      </rPr>
      <t>ทำ DataExchangeCancel</t>
    </r>
    <r>
      <rPr>
        <sz val="14"/>
        <rFont val="CordiaUPC"/>
        <family val="2"/>
      </rPr>
      <t xml:space="preserve">
- ทำ DataExchange
- ระบบ Return TRUE 100 และรายการมีstatus เป็น 1
- กดปุ่ม  Cancel</t>
    </r>
  </si>
  <si>
    <t>1. UPDATE รายการ OR ที่ ONLSTD.WS_ONLINE_TX จาก Status = 1 เป็น 5
2. INSERT LOG ที่ table ONLSTD.WS_ONLINE_LOG
ด้วย TX_ID เดียวกับข้อ 1</t>
  </si>
  <si>
    <r>
      <rPr>
        <b/>
        <sz val="14"/>
        <rFont val="CordiaUPC"/>
        <family val="2"/>
      </rPr>
      <t xml:space="preserve">ทำ DataExchange ด้วยรายการ DataExchangeCancel
(Status = 5)
</t>
    </r>
    <r>
      <rPr>
        <sz val="14"/>
        <rFont val="CordiaUPC"/>
        <family val="2"/>
      </rPr>
      <t xml:space="preserve">- ทำ DataExchangeCancel
- ระบบ Return TRUE 100 และรายการมีstatus เป็น 5
- ทำ DataExchange ด้วยข้อมูลเดียวกับครั้งที่ 1 </t>
    </r>
  </si>
  <si>
    <t>ตรวจสอบการซ่อมรายการ AutoFix</t>
  </si>
  <si>
    <t>ตรวจสอบการซ่อมรายการ AutoResend</t>
  </si>
  <si>
    <t>SR History</t>
  </si>
  <si>
    <t>PROJECT/SR CODE</t>
  </si>
  <si>
    <t>Test Date</t>
  </si>
  <si>
    <t>Version</t>
  </si>
  <si>
    <t>รายละเอียด</t>
  </si>
  <si>
    <t>Mandays</t>
  </si>
  <si>
    <t>ผู้ทดสอบ</t>
  </si>
  <si>
    <t>Nakarin S.</t>
  </si>
  <si>
    <t>PAYMENT_AMT</t>
  </si>
  <si>
    <t>PAYMENT_TYPE</t>
  </si>
  <si>
    <t>PAYMENT_DOC_NO</t>
  </si>
  <si>
    <t>PAYMENT_DOC_TYPE</t>
  </si>
  <si>
    <t>ISSUING_COUNTRY</t>
  </si>
  <si>
    <t>MERCHANT_CAT_CODE</t>
  </si>
  <si>
    <t>INSTM_PACKAGE_ID</t>
  </si>
  <si>
    <t>14587299</t>
  </si>
  <si>
    <t>09884</t>
  </si>
  <si>
    <t>B052100002A5877</t>
  </si>
  <si>
    <t>000192</t>
  </si>
  <si>
    <t>15/9/2025 13:48:11</t>
  </si>
  <si>
    <t>000004</t>
  </si>
  <si>
    <t>28</t>
  </si>
  <si>
    <t>500221016800003662</t>
  </si>
  <si>
    <t>110368141060004865</t>
  </si>
  <si>
    <t>0918421998</t>
  </si>
  <si>
    <t>0555501</t>
  </si>
  <si>
    <t>9/9/2025 14:34:29</t>
  </si>
  <si>
    <t>16/9/2025 13:48:11</t>
  </si>
  <si>
    <t>14587301</t>
  </si>
  <si>
    <t>04</t>
  </si>
  <si>
    <t>000194</t>
  </si>
  <si>
    <t>15/9/2025 13:48:27</t>
  </si>
  <si>
    <t>000005</t>
  </si>
  <si>
    <t>12000</t>
  </si>
  <si>
    <t>29</t>
  </si>
  <si>
    <t>500421016800002203</t>
  </si>
  <si>
    <t>070968143060353535</t>
  </si>
  <si>
    <t>9/9/2025 14:34:31</t>
  </si>
  <si>
    <t>16/9/2025 13:48:27</t>
  </si>
  <si>
    <t>14587303</t>
  </si>
  <si>
    <t>000196</t>
  </si>
  <si>
    <t>240</t>
  </si>
  <si>
    <t>30</t>
  </si>
  <si>
    <t>500121016800007331</t>
  </si>
  <si>
    <t>160368140060013978</t>
  </si>
  <si>
    <t>9/9/2025 14:34:34</t>
  </si>
  <si>
    <t>14587307</t>
  </si>
  <si>
    <t>05</t>
  </si>
  <si>
    <t>000198</t>
  </si>
  <si>
    <t>31</t>
  </si>
  <si>
    <t>501221016800004049</t>
  </si>
  <si>
    <t>150368151060115483</t>
  </si>
  <si>
    <t>9/9/2025 14:34:35</t>
  </si>
  <si>
    <t>14587309</t>
  </si>
  <si>
    <t>06</t>
  </si>
  <si>
    <t>000200</t>
  </si>
  <si>
    <t>32</t>
  </si>
  <si>
    <t>501121016800022039</t>
  </si>
  <si>
    <t>170368150060034814</t>
  </si>
  <si>
    <t>0918421999</t>
  </si>
  <si>
    <t>9/9/2025 14:34:37</t>
  </si>
  <si>
    <t>14587311</t>
  </si>
  <si>
    <t>03</t>
  </si>
  <si>
    <t>000202</t>
  </si>
  <si>
    <t>33</t>
  </si>
  <si>
    <t>501521016800016612</t>
  </si>
  <si>
    <t>160368154060054046</t>
  </si>
  <si>
    <t>9/9/2025 14:34:39</t>
  </si>
  <si>
    <t>14587313</t>
  </si>
  <si>
    <t>02</t>
  </si>
  <si>
    <t>000204</t>
  </si>
  <si>
    <t>000006</t>
  </si>
  <si>
    <t>80</t>
  </si>
  <si>
    <t>34</t>
  </si>
  <si>
    <t>500721016800001586</t>
  </si>
  <si>
    <t>080368146060001106</t>
  </si>
  <si>
    <t>9/9/2025 14:34:40</t>
  </si>
  <si>
    <t>14587317</t>
  </si>
  <si>
    <t>000206</t>
  </si>
  <si>
    <t>-80</t>
  </si>
  <si>
    <t>9/9/2025 14:35:02</t>
  </si>
  <si>
    <t>9/9/2025 14:35:17</t>
  </si>
  <si>
    <t>14587323</t>
  </si>
  <si>
    <t>000208</t>
  </si>
  <si>
    <t>-240</t>
  </si>
  <si>
    <t>9/9/2025 14:35:32</t>
  </si>
  <si>
    <t>9/9/2025 14:35:47</t>
  </si>
  <si>
    <t>14587325</t>
  </si>
  <si>
    <t>000210</t>
  </si>
  <si>
    <t>-60</t>
  </si>
  <si>
    <t>9/9/2025 14:35:57</t>
  </si>
  <si>
    <t>9/9/2025 14:36:18</t>
  </si>
  <si>
    <t>14587327</t>
  </si>
  <si>
    <t>000212</t>
  </si>
  <si>
    <t>9/9/2025 14:36:34</t>
  </si>
  <si>
    <t>9/9/2025 14:36:47</t>
  </si>
  <si>
    <t>14587329</t>
  </si>
  <si>
    <t>000214</t>
  </si>
  <si>
    <t>9/9/2025 14:37:05</t>
  </si>
  <si>
    <t>9/9/2025 14:37:18</t>
  </si>
  <si>
    <t>14587331</t>
  </si>
  <si>
    <t>000216</t>
  </si>
  <si>
    <t>-12000</t>
  </si>
  <si>
    <t>9/9/2025 14:37:39</t>
  </si>
  <si>
    <t>9/9/2025 14:37:47</t>
  </si>
  <si>
    <t>14587337</t>
  </si>
  <si>
    <t>000218</t>
  </si>
  <si>
    <t>-20</t>
  </si>
  <si>
    <t>9/9/2025 14:38:10</t>
  </si>
  <si>
    <t>9/9/2025 14:38:28</t>
  </si>
  <si>
    <t>14587398</t>
  </si>
  <si>
    <t>000224</t>
  </si>
  <si>
    <t>15/9/2025 14:12:10</t>
  </si>
  <si>
    <t>000007</t>
  </si>
  <si>
    <t>35</t>
  </si>
  <si>
    <t>9/9/2025 15:00:31</t>
  </si>
  <si>
    <t>16/9/2025 14:12:10</t>
  </si>
  <si>
    <t>14587402</t>
  </si>
  <si>
    <t>000226</t>
  </si>
  <si>
    <t>15/9/2025 14:12:39</t>
  </si>
  <si>
    <t>36</t>
  </si>
  <si>
    <t>9/9/2025 15:00:32</t>
  </si>
  <si>
    <t>16/9/2025 14:12:39</t>
  </si>
  <si>
    <t>14587408</t>
  </si>
  <si>
    <t>000228</t>
  </si>
  <si>
    <t>37</t>
  </si>
  <si>
    <t>9/9/2025 15:00:34</t>
  </si>
  <si>
    <t>14587414</t>
  </si>
  <si>
    <t>000230</t>
  </si>
  <si>
    <t>38</t>
  </si>
  <si>
    <t>9/9/2025 15:00:35</t>
  </si>
  <si>
    <t>14587422</t>
  </si>
  <si>
    <t>000232</t>
  </si>
  <si>
    <t>39</t>
  </si>
  <si>
    <t>9/9/2025 15:00:37</t>
  </si>
  <si>
    <t>14587426</t>
  </si>
  <si>
    <t>000234</t>
  </si>
  <si>
    <t>40</t>
  </si>
  <si>
    <t>9/9/2025 15:00:38</t>
  </si>
  <si>
    <t>14587428</t>
  </si>
  <si>
    <t>000236</t>
  </si>
  <si>
    <t>41</t>
  </si>
  <si>
    <t>9/9/2025 15:00:40</t>
  </si>
  <si>
    <t>9/9/2025 15:51:49</t>
  </si>
  <si>
    <t>-80.00</t>
  </si>
  <si>
    <t>001</t>
  </si>
  <si>
    <t>9/9/2025 15:50:46</t>
  </si>
  <si>
    <t>-240.00</t>
  </si>
  <si>
    <t>9/9/2025 15:50:21</t>
  </si>
  <si>
    <t>-60.00</t>
  </si>
  <si>
    <t>9/9/2025 15:50:29</t>
  </si>
  <si>
    <t>-2000.00</t>
  </si>
  <si>
    <t>9/9/2025 15:51:57</t>
  </si>
  <si>
    <t>9/9/2025 15:50:37</t>
  </si>
  <si>
    <t>-12000.00</t>
  </si>
  <si>
    <t>9/9/2025 15:49:18</t>
  </si>
  <si>
    <t>-20.00</t>
  </si>
  <si>
    <t>9/9/2025 15:51:44</t>
  </si>
  <si>
    <t>80.00</t>
  </si>
  <si>
    <t>9/9/2025 15:50:42</t>
  </si>
  <si>
    <t>240.00</t>
  </si>
  <si>
    <t>9/9/2025 15:50:16</t>
  </si>
  <si>
    <t>60.00</t>
  </si>
  <si>
    <t>9/9/2025 15:50:25</t>
  </si>
  <si>
    <t>2000.00</t>
  </si>
  <si>
    <t>9/9/2025 15:51:53</t>
  </si>
  <si>
    <t>9/9/2025 15:50:33</t>
  </si>
  <si>
    <t>12000.00</t>
  </si>
  <si>
    <t>9/9/2025 15:49:14</t>
  </si>
  <si>
    <t>20.00</t>
  </si>
  <si>
    <t>TEST CASES &amp; RESULT</t>
  </si>
  <si>
    <t>ทดสอบบน Simulator SimulatorWAS7V25THAI.exe
IP : testcspos.counterservice.co.th
WS ADDRESS : /DCWSCDSONLINE/WSCDSService
PORT : 8001</t>
  </si>
  <si>
    <t>TEST DATA (Location): ร้านทดสอบ 09884</t>
  </si>
  <si>
    <t>Piyanooch W.</t>
  </si>
  <si>
    <t xml:space="preserve">ตรวจสอบ </t>
  </si>
  <si>
    <t>Results</t>
  </si>
  <si>
    <t xml:space="preserve"> ที่ VENDOR_ID = Tax_ID ของผวจ.ดังกล่าว
SERVICE_ID = รหัส Service ของผวจ.ดังกล่าว
- ที่ Field SERVICE_CHARGE = กำหนดรูปแบบการคิดค่าบริการ
1 หมายถึง กำหนดค่าบริการตาม WS_CLIENT_CHARGE
2 หมายถึง กำหนดค่าบริการเป็นขั้นตาม WS_CLIENT_CHARGE_STEP
3 หมายถึง กำหนดค่าบริการเป็นขั้นตาม WS_CLIENT_CHARGE_STEP เหมือนกัน แต่เอาค่าเงินที่ได้จากตอนที่ ผวจ. ตอบกลับมา มาคิดว่าอยู่ในช่วงไหน
4 หมายถึง คิดค่าบริการแบบรวม แต่ละ transaction
N หมายถึง ไม่คิดค่าบริการ
M หมายถึง รองรับค่าบริการแบบว่าส่งหลาย ๆ Vendor กลับไปหาร้าน</t>
  </si>
  <si>
    <t>ตรวจสอบ "แก้ไขจำนวนเงิน"
ที่ DB ONLSTD TBL = WS_CLIENT_CONFIG</t>
  </si>
  <si>
    <t>อ้างอิง ROW ที่ VENDOR_ID = Tax_ID ของผวจ.ดังกล่าว
SERVICE_ID = รหัส Service ของผวจ.ดังกล่าว
- ที่ Field "PARTAIL_AMT = กำหนดแก้ไขเงินได้หรือไม่"
Y = แก้ไขเงินได้
N = แก้ไขเงินไม่ได้</t>
  </si>
  <si>
    <t>ตรวจสอบ เช็คเงิน"ก่อน"ส่งไปถึงผู้ว่าจ้าง"
ที่ DB ONLSTD TBL = WS_CLIENT_CONFIG</t>
  </si>
  <si>
    <t>อ้างอิง ROW ที่ VENDOR_ID = Tax_ID ของผวจ.ดังกล่าว
SERVICE_ID = รหัส Service ของผวจ.ดังกล่าว
- ที่ Field "CHK_AMT_BEFORE = เช็คเงิน"ก่อน"ส่งไปถึงผู้ว่าจ้าง"
Y = เช็คเงิน"ก่อน"ส่งไปถึงผู้ว่าจ้าง
N = ไม่เช็คเงิน"ก่อน"ส่งไปถึงผู้ว่าจ้าง</t>
  </si>
  <si>
    <t>ตรวจสอบเช็คเงิน"หลัง"ส่งไปถึงผู้ว่าจ้าง"
ที่ DB ONLSTD TBL = WS_CLIENT_CONFIG</t>
  </si>
  <si>
    <t>อ้างอิง ROW ที่ VENDOR_ID = Tax_ID ของผวจ.ดังกล่าว
SERVICE_ID = รหัส Service ของผวจ.ดังกล่าว
- ที่ Field "CHK_AMT_AFTER = เช็คเงิน"หลัง"ส่งไปถึงผู้ว่าจ้าง"
Y = เช็คเงิน"หลัง"ส่งไปถึงผู้ว่าจ้าง
N = ไม่เช็คเงิน"หลัง"ส่งไปถึงผู้ว่าจ้าง</t>
  </si>
  <si>
    <t>ตรวจสอบ "เช็ค"ทศนิยม""
ที่ DB ONLSTD TBL = WS_CLIENT_CONFIG</t>
  </si>
  <si>
    <t>อ้างอิง ROW ที่ VENDOR_ID = Tax_ID ของผวจ.ดังกล่าว
SERVICE_ID = รหัส Service ของผวจ.ดังกล่าว
- ที่ Field "CHK_AMT_FNT = เช็คทศนิยม"
1 = "ไม่"รองรับทศนิยม รับเฉพาะ 0.00 เท่านั้น
2 =  รองรับ"ลงตัว" 0.00 , 0.25, 0.50 , 0.75
N = รองรับทศนิยม "ไม่" ลงตัว 0.00,0.01,...0.99
หมายเหตุ
1 HALF ONLINE (CHK_AMT_FNT = N) เสมอ เพราะให้ CS หน้าร้านเช็ค ทศนิยม
2 HALF ONLINE (CHK_AMT_FNT = 1,2,N) **จะเช็คเงื่อนไขนี้**</t>
  </si>
  <si>
    <t xml:space="preserve">ตรวจสอบการกำหนดค่า ค่าบริการแบบคิดจากพื้นที่
ที่ DB ONLSTD TBL = WS_CLIENT_CHARGE
</t>
  </si>
  <si>
    <t xml:space="preserve">อ้างอิง ROW ที่ VENDOR_ID = Tax_ID ของผวจ.ดังกล่าว
SERVICE_ID = รหัส Service ของผวจ.ดังกล่าว
- ที่ Field SERVICE_CHARGE_CENTRE = ค่าบริการในเขตกทม.
</t>
  </si>
  <si>
    <t>อ้างอิง ROW ที่ VENDOR_ID = Tax_ID ของผวจ.ดังกล่าว
SERVICE_ID = รหัส Service ของผวจ.ดังกล่าว
- ที่ Field SERVICE_CHARGE_PROVINCESE = ค่าบริการในเขตตจว.</t>
  </si>
  <si>
    <t>P0</t>
  </si>
  <si>
    <t xml:space="preserve">ตรวจสอบการกำหนดค่า ค่าบริการแบบคิดเป็น Step ตามยอดเงินที่รับชำระ
ที่ DB ONLSTD TBL = WS_CLIENT_CHARGE_STEP 
</t>
  </si>
  <si>
    <t xml:space="preserve">อ้างอิง ROW ที่ VENDOR_ID = Tax_ID ของผวจ.ดังกล่าว
SERVICE_ID = รหัส Service ของผวจ.ดังกล่าว
- ที่ Field WS_CLIENT_CHARGE_STEP  = ค่าบริการในเขตกทม.
</t>
  </si>
  <si>
    <t xml:space="preserve">ไม่มีการกำหนดค่า  WS_CLIENT_CHARGE_STEP </t>
  </si>
  <si>
    <t>อ้างอิง ROW ที่ VENDOR_ID = Tax_ID ของผวจ.ดังกล่าว
SERVICE_ID = รหัส Service ของผวจ.ดังกล่าว
- ที่ Field WS_CLIENT_CHARGE_STEP  = ค่าบริการในเขตตจว.</t>
  </si>
  <si>
    <t xml:space="preserve">ตรวจสอบการกำหนดค่า AutoFix
ที่ TBL WS_CLIENT_AUTOFIXTX 
</t>
  </si>
  <si>
    <t>มีการกำหนดค่า AutoFix ได้ถูกต้อง
- ที่ Field  SERVER_RUN = rac5Job2</t>
  </si>
  <si>
    <t>rac5Job2</t>
  </si>
  <si>
    <t>ไม่มีการกำหนดค่า Error Code และใช้ Error Code standard</t>
  </si>
  <si>
    <t>ไม่มี</t>
  </si>
  <si>
    <t>ไม่มีการกำหนดค่าที่ DB ONLSTD TBL WS_CLIENT_REPRINT</t>
  </si>
  <si>
    <t xml:space="preserve">ไม่มีการกำหนดค่าที่ DB ONLSTD TBL = WS_STD_SERVICE_LOOKUP
</t>
  </si>
  <si>
    <t>ไม่มีการกำหนดค่าที่ DB ONLSTD TBL WS_CLIENT_RETURN</t>
  </si>
  <si>
    <t>ตรวจสอบการกำหนดค่า Return
ที่ DB ONLSTD TBL WS_CLIENT_RETURN_LEN_EXTEN</t>
  </si>
  <si>
    <t>ไม่มีการกำหนดค่าที่ DB ONLSTD TBL  WS_CLIENT_RETURN_LEN_EXTEN</t>
  </si>
  <si>
    <t>มีการกำหนดค่าที่ DB ONLSTD TBL WS_CLIENT_REF</t>
  </si>
  <si>
    <t>ไม่มีการกำหนดค่าที่ DB ONLSTD TBL WS_CLIENT_LEN_EXTEN</t>
  </si>
  <si>
    <t xml:space="preserve">มีการกำหนดค่าที่ DB ONLSTD TBL WS_CLIENT_PREFIX </t>
  </si>
  <si>
    <t>มี</t>
  </si>
  <si>
    <t>ตรวจสอบ "ลิ้งเครื่องPOS ที่ใช้ในการทดสอบ"
ที่ DB ONLSTD TBL = WS_CLIENT_GRP</t>
  </si>
  <si>
    <t>อ้างอิง ROW ที่ VENDOR_ID = Tax_ID ของผวจ.ดังกล่าว
SERVICE_ID = รหัส Service ของผวจ.ดังกล่าว
- ที่ Field "POS_URL = http://XX.XXX.XXX.XX:XX/DCWSCDSONLINE/WSCDSService"</t>
  </si>
  <si>
    <t>มีการสร้าง LOG ที่ SSH Secure File Transfer Client 
เครื่อง 10.160.108.102
path log:
/wasapp/logs/DDMMYYYY/HH/online/VendorName
/wasapp/logs/28032019/10/online/xxx</t>
  </si>
  <si>
    <r>
      <rPr>
        <b/>
        <sz val="14"/>
        <rFont val="CordiaUPC"/>
        <family val="2"/>
      </rPr>
      <t>ตรวจสอบกรณีระบุเลข Service Code ไม่ถูกต้อง</t>
    </r>
    <r>
      <rPr>
        <sz val="14"/>
        <rFont val="CordiaUPC"/>
        <family val="2"/>
      </rPr>
      <t xml:space="preserve">
-ที่โปรแกรม simulatior ระบุค่า Vendor ID ที่ถูกต้อง ลงในช่องVendor ID  
-ที่โปรแกรม simulatior ระบุค่า Service Code ที่ไม่ถูกต้อง ลงในช่อง Service Code
- กดปุ่ม  </t>
    </r>
    <r>
      <rPr>
        <sz val="14"/>
        <color rgb="FF0033CC"/>
        <rFont val="CordiaUPC"/>
        <family val="2"/>
      </rPr>
      <t xml:space="preserve">DataExchange </t>
    </r>
  </si>
  <si>
    <t>Vendor ID : 0994000153066
Service Code: 99</t>
  </si>
  <si>
    <t>ตรวจสอบการ validate ข้อมูลที่ Method : Exchange</t>
  </si>
  <si>
    <t xml:space="preserve">ตรวจสอบการ validate ข้อมูลที่ Ref.1
- ระบุค่า Ref.1 (ตามเงื่อนไข)
- กดปุ่ม  DataExchange
</t>
  </si>
  <si>
    <t>กรณีข้อมูลไม่ถูกต้องตามเงื่อนไข จะไม่สามารถรับชำระได้</t>
  </si>
  <si>
    <t>กรณีข้อมูลไม่ถูกต้องตามเงื่อนไข จะไม่สามารถรับชำระได้
อ้างอิงผลการทดสอบที่ Sheet Validate</t>
  </si>
  <si>
    <t xml:space="preserve">ตรวจสอบการ validate ข้อมูลที่ Ref.2
- ระบุค่า Ref.2 (ตามเงื่อนไข)
- กดปุ่ม  DataExchange
</t>
  </si>
  <si>
    <t xml:space="preserve">ตรวจสอบการ validate ข้อมูลที่ Ref.3
- ระบุค่า Ref.3 (ตามเงื่อนไข)
- กดปุ่ม  DataExchange
</t>
  </si>
  <si>
    <t xml:space="preserve">ตรวจสอบการ validate เงื่อนไขอื่นๆ
- ระบุค่า (ตามเงื่อนไข)
- กดปุ่ม  DataExchange
</t>
  </si>
  <si>
    <t>ตรวจสอบการทำงานของ Method: DataExchange</t>
  </si>
  <si>
    <t xml:space="preserve">กรณีทำ Method DataExchange สำเร็จ
Step : 
- ระบุค่า Ref.1  ความยาว 11 digits
- ระบุค่า Ref.2  ความยาว 8 digits
- ระบุยอดเงิน  1-30,000  บาท                         
- กดปุ่ม DataExchange  </t>
  </si>
  <si>
    <t>Exchange!A1</t>
  </si>
  <si>
    <t>ตรวจสอบการ Return ค่า และบันทึกลง DB</t>
  </si>
  <si>
    <t>ตรวจสอบการบันทึกค่า</t>
  </si>
  <si>
    <t xml:space="preserve">ระบบบันทึกค่าดังนี้
REFFERENCE_1 = ความยาว 11  digits
REFFERENCE_2 = ความยาว 8 digits
</t>
  </si>
  <si>
    <t>- ตรวจสอบการ Response ค่า CUSTOMER_NAME</t>
  </si>
  <si>
    <t xml:space="preserve">ไม่มีการส่งค่าที่ Tag &lt;CUSTOMER_NAME&gt; 
</t>
  </si>
  <si>
    <t xml:space="preserve">- ตรวจสอบการ Response ค่า PRINT_SLIP
</t>
  </si>
  <si>
    <t>ไม่มีการส่งค่าที่ Tag &lt;PRINT_SLIP&gt;</t>
  </si>
  <si>
    <r>
      <rPr>
        <b/>
        <sz val="14"/>
        <rFont val="CordiaUPC"/>
        <family val="2"/>
      </rPr>
      <t xml:space="preserve">กรณีทำ DataExchangeConfirm สำเร็จ
</t>
    </r>
    <r>
      <rPr>
        <sz val="14"/>
        <rFont val="CordiaUPC"/>
        <family val="2"/>
      </rPr>
      <t>Step : 
- ทำ Method : DataExchange 
  ระบบ Return TRUE 100 และได้รายการ STATUS = 1
- ระบุเลข Service_Run_No
- กดปุ่ม Confirm</t>
    </r>
  </si>
  <si>
    <t>Confirm!A1</t>
  </si>
  <si>
    <r>
      <rPr>
        <b/>
        <sz val="14"/>
        <rFont val="CordiaUPC"/>
        <family val="2"/>
      </rPr>
      <t>กรณีมีการแก้ไขจำนวนเงินก่อน DataExchangeConfirm
(Online Return เงินกลับมาห้ามแก้ไขจำนวนเงิน)</t>
    </r>
    <r>
      <rPr>
        <sz val="14"/>
        <rFont val="CordiaUPC"/>
        <family val="2"/>
      </rPr>
      <t xml:space="preserve">
Step :
- ทำ Method : DataExchange 
  ระบบ Return TRUE 100 และได้รายการ STATUS = 1
- เปลี่ยนจำนวนเงินที่ช่อง Amount ให้ไม่ตรงกับขา DataExchange
- กดปุ่ม Confirm
</t>
    </r>
  </si>
  <si>
    <t>1. ยอดเงินไม่เปลี่ยนแปลง
2. UPDATE รายการที่ ONLSTD.WS_ONLINE_TX จาก Status = 1 เป็น 3
3. INSERT LOG ที่ table ONLSTD.WS_ONLINE_LOG
ด้วย TX_ID เดียวกับข้อ 1</t>
  </si>
  <si>
    <r>
      <rPr>
        <b/>
        <sz val="14"/>
        <rFont val="CordiaUPC"/>
        <family val="2"/>
      </rPr>
      <t xml:space="preserve">กรณีทำ DataExchangeConfirm ซ้ำ 
ด้วยเลข Service_Run_No ซ้ำ
</t>
    </r>
    <r>
      <rPr>
        <sz val="14"/>
        <rFont val="CordiaUPC"/>
        <family val="2"/>
      </rPr>
      <t>Step : 
- ทำ Method : DataExchangeConfirm 
  ระบบ Return TRUE 100 และได้รายการ STATUS = 3
- ระบุเลข Service_Run_No ด้วยเลข Service_Run_No ที่เคยใช้งานแล้ว
- กดปุ่ม Confirm</t>
    </r>
  </si>
  <si>
    <t>1. ระบบแสดงข้อความแจ้งเตือนว่า false  /  133   /   รหัสรับชำระซ้ำซ้อน                        
2. ที่ ONLSTD.WS_ONLINE_TX จาก Status = 3 ไม่มีการเปลี่ยนแปลง
3. ที่ ONLSTD.WS_ONLINE_LOG &gt;&gt;&gt; SUCCESS = False , Status = ค่าว่าง</t>
  </si>
  <si>
    <t xml:space="preserve"> - ตรวจสอบรูปแบบของการรับเงิน</t>
  </si>
  <si>
    <t>ไม่สามารถแก้ไขจำนวนเงินหลังจาก Online Return ได้</t>
  </si>
  <si>
    <r>
      <rPr>
        <b/>
        <sz val="14"/>
        <rFont val="CordiaUPC"/>
        <family val="2"/>
      </rPr>
      <t xml:space="preserve">กรณีทำ DataExchangeConfirm ซ้ำ ข้ามวัน
</t>
    </r>
    <r>
      <rPr>
        <sz val="14"/>
        <rFont val="CordiaUPC"/>
        <family val="2"/>
      </rPr>
      <t>Step : 
1 ทำ Method :  DataExchangeConfirm ปรับย้อนหลัง 1 วัน
2 ทำ Method : DataExchangeConfirm ในวันถัดไป</t>
    </r>
  </si>
  <si>
    <t>สามารถ ทำ Method : DataExchangeConfirm ได้ SATUS = 3
วันที่ละเวลา คงเดิม ไม่เปลี่ยนแปลง</t>
  </si>
  <si>
    <r>
      <t xml:space="preserve">กรณีทำ Reprint  
</t>
    </r>
    <r>
      <rPr>
        <sz val="14"/>
        <rFont val="CordiaUPC"/>
        <family val="2"/>
      </rPr>
      <t>- ทำ Method: DataExchangeConfirm
- ระบบ Return TRUE 100 และรายการมีstatus เป็น 3
- ระบุ TX_ID ของรายการหลัก 
- กดปุ่ม Reprint</t>
    </r>
  </si>
  <si>
    <t>1. ระบบแสดงข้อความแจ้งเตือนว่า : false / 208 / ผู้ว่าจ้างนี้ไม่อนุญาตให้ Reprint
2. ที่ ONLSTD.WS_ONLINE_TX จาก Status = 3 ไม่มีการเปลี่ยนแปลง
3. ที่ ONLSTD.WS_ONLINE_LOG &gt;&gt;&gt; SUCCESS = False , Status = 0</t>
  </si>
  <si>
    <t>Reprint!A1</t>
  </si>
  <si>
    <r>
      <t xml:space="preserve">กรณีทำ Reprint มากกว่า  1 ครั้ง 
</t>
    </r>
    <r>
      <rPr>
        <sz val="14"/>
        <rFont val="CordiaUPC"/>
        <family val="2"/>
      </rPr>
      <t>- ทำ Method: DataExchangeConfirm
- ระบบ Return TRUE 100 และรายการมีstatus เป็น 3
- ระบุ TX_ID ของรายการหลัก 
- กดปุ่ม Reprint</t>
    </r>
  </si>
  <si>
    <r>
      <t xml:space="preserve">กรณีทำ Reprint มากกว่าจำนวนครั้งที่สามารถ Reprint ได้ ภายในวัน/ภายชั่วโมง
</t>
    </r>
    <r>
      <rPr>
        <sz val="14"/>
        <rFont val="CordiaUPC"/>
        <family val="2"/>
      </rPr>
      <t>- ทำ Method: DataExchangeConfirm
- ระบบ Return TRUE 100 และรายการมีstatus เป็น 3
- ระบุ TX_ID ของรายการหลัก 
- กดปุ่ม Reprint</t>
    </r>
  </si>
  <si>
    <t xml:space="preserve">ไม่สามารถทดสอบได้ เนื่องจาก ผวจ. นี้ไม่อนุญาตให้ Reprint
</t>
  </si>
  <si>
    <r>
      <t xml:space="preserve">กรณีทำ Reprint ข้ามวัน
</t>
    </r>
    <r>
      <rPr>
        <sz val="14"/>
        <rFont val="CordiaUPC"/>
        <family val="2"/>
      </rPr>
      <t>- ทำ Method: DataExchangeConfirm
- ระบบ Return TRUE 100 และรายการมีstatus เป็น 3
- ระบุ TX_ID ของรายการหลัก 
- กดปุ่ม Reprint</t>
    </r>
  </si>
  <si>
    <r>
      <rPr>
        <b/>
        <sz val="14"/>
        <rFont val="CordiaUPC"/>
        <family val="2"/>
      </rPr>
      <t>ทำ ORCancel ด้วยรายการ OR (Status = 6)</t>
    </r>
    <r>
      <rPr>
        <sz val="14"/>
        <rFont val="CordiaUPC"/>
        <family val="2"/>
      </rPr>
      <t xml:space="preserve">
- ทำ OR 
- ระบบ Return TRUE 100 และรายการ OR มีstatus เป็น 6
- ระบุข้อมูลเพื่อทำ ORCancel
- กดปุ่ม OR Cancel</t>
    </r>
  </si>
  <si>
    <t>OR CANCEL'!A1</t>
  </si>
  <si>
    <r>
      <t xml:space="preserve">ทำ OR ด้วยรายการ ORCancel (Status = 5)
</t>
    </r>
    <r>
      <rPr>
        <sz val="14"/>
        <rFont val="CordiaUPC"/>
        <family val="2"/>
      </rPr>
      <t>- ทำ ORCancel
- ระบบ Return TRUE 100 และรายการ OR มีstatus เป็น 5
- ระบุข้อมูลเพื่อทำ OR
- กดปุ่ม OR</t>
    </r>
  </si>
  <si>
    <t xml:space="preserve">1. INSERT รายการที่ ONLSTD.WS_ONLINE_TX ด้วย TX_ID ใหม่
โดยรายการดังกล่าวจะมี Status = 6 
2. INSERT LOG ที่ table ONLSTD.WS_ONLINE_LOG
ด้วย TX_ID เดียวกับข้อ 1
</t>
  </si>
  <si>
    <r>
      <rPr>
        <b/>
        <sz val="14"/>
        <rFont val="CordiaUPC"/>
        <family val="2"/>
      </rPr>
      <t>ทำ OR ด้วยรายการ DataExchangeConfirm (Status = 3)</t>
    </r>
    <r>
      <rPr>
        <sz val="14"/>
        <rFont val="CordiaUPC"/>
        <family val="2"/>
      </rPr>
      <t xml:space="preserve">
- ทำ DataExchangeConfirm
- ระบบ Return TRUE 100 และรายการ Complete มีstatus เป็น 3
- ระบุข้อมูลเพื่อทำ OR
- กดปุ่ม OR </t>
    </r>
  </si>
  <si>
    <t>OR!A1</t>
  </si>
  <si>
    <r>
      <t xml:space="preserve">ทำ ORConfirm ด้วยรายการ OR (Status = 6)
</t>
    </r>
    <r>
      <rPr>
        <sz val="14"/>
        <rFont val="CordiaUPC"/>
        <family val="2"/>
      </rPr>
      <t>- ทำ OR
- ระบบ Return TRUE 100 และรายการ OR มีstatus เป็น 6
- ระบุข้อมูลเพื่อทำ ORConfirm
- กดปุ่ม ORConfirm</t>
    </r>
  </si>
  <si>
    <t>ORConfirm!A1</t>
  </si>
  <si>
    <r>
      <rPr>
        <b/>
        <sz val="14"/>
        <rFont val="CordiaUPC"/>
        <family val="2"/>
      </rPr>
      <t>ORConfirm ซ้ำ ด้วยเลข Service_Run_No เดิม</t>
    </r>
    <r>
      <rPr>
        <sz val="14"/>
        <rFont val="CordiaUPC"/>
        <family val="2"/>
      </rPr>
      <t xml:space="preserve">
- ทำ ORConfirm
- ระบบ Return TRUE 100 และรายการ OR มีstatus เป็น 9
- ระบุข้อมูลเพื่อทำ ORConfirm ซ้ำ 
- กดปุ่ม OR Confirm</t>
    </r>
  </si>
  <si>
    <t xml:space="preserve">1. ระบบแสดงข้อความแจ้งเตือนว่า : false  /  133   /   รหัสรับชำระซ้ำซ้อน
2. ที่ ONLSTD.WS_ONLINE_TX จาก Status = 9 ไม่มีการเปลี่ยนแปลง
3. ที่ ONLSTD.WS_ONLINE_LOG &gt;&gt;&gt; SUCCESS = False , Status = เป็นค่าว่าง
</t>
  </si>
  <si>
    <r>
      <rPr>
        <b/>
        <sz val="14"/>
        <rFont val="CordiaUPC"/>
        <family val="2"/>
      </rPr>
      <t>ทำ OR ด้วยรายการ ORConfirm (Status = 9)</t>
    </r>
    <r>
      <rPr>
        <sz val="14"/>
        <rFont val="CordiaUPC"/>
        <family val="2"/>
      </rPr>
      <t xml:space="preserve">
- ทำ ORConfirm 
- ระบบ Return TRUE 100 และรายการ OR มีstatus เป็น 9
- ระบุข้อมูลเพื่อทำ OR
- กดปุ่ม OR</t>
    </r>
  </si>
  <si>
    <t xml:space="preserve">1. ระบบแสดงข้อความแจ้งเตือนว่า : false  /  134   /   รายการยกเลิกซ้ำซ้อน
2. ที่ ONLSTD.WS_ONLINE_TX จาก Status = 9 ไม่มีการเปลี่ยนแปลง
3. ที่ ONLSTD.WS_ONLINE_LOG &gt;&gt;&gt; SUCCESS = False , Status = เป็นค่าว่าง
</t>
  </si>
  <si>
    <r>
      <rPr>
        <b/>
        <sz val="14"/>
        <rFont val="CordiaUPC"/>
        <family val="2"/>
      </rPr>
      <t>ทำ DataExchange ด้วยรายการ ORConfirm (Status = 9)</t>
    </r>
    <r>
      <rPr>
        <sz val="14"/>
        <rFont val="CordiaUPC"/>
        <family val="2"/>
      </rPr>
      <t xml:space="preserve">
- ทำ  ORConfirm
- ระบบ Return TRUE 100 และรายการ Complete มีstatus เป็น 9
- ระบุข้อมูลเพื่อทำ DataExchange ข้อมูลซ้ำกับที่ทำ รายการ ORConfirm
- กดปุ่ม DataExchange</t>
    </r>
  </si>
  <si>
    <t>1. INSERT รายการที่ ONLSTD.WS_ONLINE_TX ด้วย TX_ID ใหม่
โดยรายการดังกล่าวจะมี Status = 1
2. INSERT LOG ที่ table ONLSTD.WS_ONLINE_LOG
ด้วย TX_ID เดียวกับข้อ 1</t>
  </si>
  <si>
    <r>
      <t xml:space="preserve">OR เกิน Time Out  </t>
    </r>
    <r>
      <rPr>
        <b/>
        <sz val="14"/>
        <color rgb="FFFF0000"/>
        <rFont val="CordiaUPC"/>
        <family val="2"/>
      </rPr>
      <t>(OR ได้ภายใน 3 ชม.)</t>
    </r>
    <r>
      <rPr>
        <b/>
        <sz val="14"/>
        <rFont val="CordiaUPC"/>
        <family val="2"/>
      </rPr>
      <t xml:space="preserve">
</t>
    </r>
    <r>
      <rPr>
        <sz val="14"/>
        <rFont val="CordiaUPC"/>
        <family val="2"/>
      </rPr>
      <t xml:space="preserve">- ทำ DataExchangeConfirm 
- ระบบ Return TRUE 100 และรายการ Complete มีstatus เป็น 3
- รอเวลาครบกำหนด หรือ เปลี่ยนเวลาของรายการหลัก และ รายการค่าบริการให้เกิน 1 วัน ที่ ONLSTD.WS_ONLINE_TX Column SYSTEM_DATE_TIME
- ทำ OR </t>
    </r>
    <r>
      <rPr>
        <b/>
        <sz val="14"/>
        <rFont val="CordiaUPC"/>
        <family val="2"/>
      </rPr>
      <t xml:space="preserve">
</t>
    </r>
  </si>
  <si>
    <t>ORTimeout!A1</t>
  </si>
  <si>
    <r>
      <t xml:space="preserve">OR เกิน Time Out  </t>
    </r>
    <r>
      <rPr>
        <b/>
        <sz val="14"/>
        <color rgb="FFFF0000"/>
        <rFont val="CordiaUPC"/>
        <family val="2"/>
      </rPr>
      <t>(OR ได้ภายใน 3 ชม.) มากกว่า 1 ครั้ง</t>
    </r>
    <r>
      <rPr>
        <b/>
        <sz val="14"/>
        <rFont val="CordiaUPC"/>
        <family val="2"/>
      </rPr>
      <t xml:space="preserve">
</t>
    </r>
    <r>
      <rPr>
        <sz val="14"/>
        <rFont val="CordiaUPC"/>
        <family val="2"/>
      </rPr>
      <t xml:space="preserve">- ทำ DataExchangeConfirm
- ระบบ Return TRUE 100 และรายการ Complete มีstatus เป็น 3
- รอเวลาครบกำหนด หรือ เปลี่ยนเวลาของรายการหลัก และ รายการค่าบริการให้เกิน 1 วัน ที่ ONLSTD.WS_ONLINE_TX Column SYSTEM_DATE_TIME
- ทำ OR </t>
    </r>
    <r>
      <rPr>
        <b/>
        <sz val="14"/>
        <rFont val="CordiaUPC"/>
        <family val="2"/>
      </rPr>
      <t xml:space="preserve">
</t>
    </r>
  </si>
  <si>
    <r>
      <t xml:space="preserve">OR ข้ามวัน 
</t>
    </r>
    <r>
      <rPr>
        <sz val="14"/>
        <rFont val="CordiaUPC"/>
        <family val="2"/>
      </rPr>
      <t xml:space="preserve">- ทำ DataExchangeConfirm 
- ระบบ Return TRUE 100 และรายการ Complete มีstatus เป็น 3
- มาทำรายการ OR ในวันถัดไป หรือ เปลี่ยนวันที่ของรายการหลัก และ รายการค่าบริการให้เป็นเมื่อวานนี้ที่ ONLSTD.WS_ONLINE_TX &gt;&gt;&gt; Column SYSTEM_DATE_TIME
- ทำ OR </t>
    </r>
    <r>
      <rPr>
        <b/>
        <sz val="14"/>
        <rFont val="CordiaUPC"/>
        <family val="2"/>
      </rPr>
      <t xml:space="preserve">
</t>
    </r>
  </si>
  <si>
    <r>
      <t xml:space="preserve">OR ข้ามวัน มากกว่า 1 ครั้ง
</t>
    </r>
    <r>
      <rPr>
        <sz val="14"/>
        <rFont val="CordiaUPC"/>
        <family val="2"/>
      </rPr>
      <t xml:space="preserve">- ทำ DataExchangeConfirm
- ระบบ Return TRUE 100 และรายการ Complete มีstatus เป็น 3
- มาทำรายการ OR ในวันถัดไป หรือ เปลี่ยนวันที่ของรายการหลัก และ รายการค่าบริการให้เป็นเมื่อวานนี้ที่ ONLSTD.WS_ONLINE_TX &gt;&gt;&gt; Column SYSTEM_DATE_TIME
- ทำ OR </t>
    </r>
    <r>
      <rPr>
        <b/>
        <sz val="14"/>
        <rFont val="CordiaUPC"/>
        <family val="2"/>
      </rPr>
      <t xml:space="preserve">
</t>
    </r>
  </si>
  <si>
    <t>Cancel!A1</t>
  </si>
  <si>
    <r>
      <t>ตรวจสอบการรับชำระซ้ำ</t>
    </r>
    <r>
      <rPr>
        <b/>
        <sz val="14"/>
        <color theme="0"/>
        <rFont val="CordiaUPC"/>
        <family val="2"/>
      </rPr>
      <t xml:space="preserve"> (รับชำระซ้ำได้)</t>
    </r>
  </si>
  <si>
    <t xml:space="preserve">ตรวจสอบการรับชำระซ้ำ STATUS = 1 </t>
  </si>
  <si>
    <t>ตรวจสอบการรับชำระซ้ำ 
1. ทำ Method:DataExchange ได้รายการ STATUS = 1
2. ทำ Method: DataExchange อีกครั้ง</t>
  </si>
  <si>
    <t>1. ไม่สามารถรับชำระซ้ำได้</t>
  </si>
  <si>
    <t>Duplicate!A1</t>
  </si>
  <si>
    <t>ตรวจสอบการรับชำระซ้ำ มากกว่า 1 ครั้ง (Speacial Case)
1. ทำ Method:DataExchange ได้รายการ STATUS = 1
2. ทำ Method: DataExchange อีกครั้ง</t>
  </si>
  <si>
    <t>Speacial Case</t>
  </si>
  <si>
    <t>ตรวจสอบการรับชำระซ้ำ STATUS = 3</t>
  </si>
  <si>
    <t>ตรวจสอบการรับชำระซ้ำ 
1. ทำ Method:DataExchangeConfirm ได้รายการ STATUS = 3
2. ทำ Method: DataExchange อีกครั้ง</t>
  </si>
  <si>
    <t>ตรวจสอบการรับชำระซ้ำ มากกว่า 1 ครั้ง (Speacial Case)
1. ทำ Method:DataExchangeConfirm ได้รายการ STATUS = 3
2. ทำ Method: DataExchange อีกครั้ง</t>
  </si>
  <si>
    <t>ตรวจสอบการรับชำระซ้ำ STATUS = 6</t>
  </si>
  <si>
    <t>ตรวจสอบการรับชำระซ้ำ 
1. ทำ Method:OR ได้รายการ STATUS = 6
2. ทำ Method: DataExchange อีกครั้ง</t>
  </si>
  <si>
    <t>ตรวจสอบการรับชำระซ้ำ มากกว่า 1 ครั้ง (Speacial Case)
1. ทำ Method:OR ได้รายการ STATUS = 6
2. ทำ Method: DataExchange อีกครั้ง</t>
  </si>
  <si>
    <r>
      <t>ตรวจสอบการรับชำระซ้ำ</t>
    </r>
    <r>
      <rPr>
        <b/>
        <sz val="14"/>
        <color theme="0"/>
        <rFont val="CordiaUPC"/>
        <family val="2"/>
      </rPr>
      <t xml:space="preserve"> (ข้ามวัน)</t>
    </r>
  </si>
  <si>
    <t>ตรวจสอบการรับชำระซ้ำ 
1. ทำ Method:DataExchangeConfirm ได้รายการ STATUS = 3
2. ทำ Method:DataExchange อีกครั้ง</t>
  </si>
  <si>
    <t>1. สามารถรับชำระซ้ำได้
DataExchange ระบบ Return  true  /  100   /   success
2.  INSERT รายการที่ ONLSTD.WS_ONLINE_TX 
3.  INSERT LOG ที่ table ONLSTD.WS_ONLINE_LOG</t>
  </si>
  <si>
    <t>ตรวจสอบการรับชำระซ้ำ (ข้ามวัน) Service Runo เดิม
1. ทำ Method:DataExchangeConfirm ได้รายการ STATUS = 3
2. ทำ Method:DataExchange อีกครั้ง</t>
  </si>
  <si>
    <t>1. สามารถรับชำระซ้ำได้
DataExchange ระบบ Return  true  /  100   /   success
2 เวลา เดิมไม่เปลี่ยน</t>
  </si>
  <si>
    <t>ตรวจสอบการชำระเงินเทียบกับค่า Min และค่า Max (เช็คที่ขา Request DataExchange)</t>
  </si>
  <si>
    <t xml:space="preserve">รับชำระยอดเงินน้อยกว่ายอด Min ที่กำหนดไว้
- ระบุค่า billamount 0 
- กดปุ่ม DataExchange 
</t>
  </si>
  <si>
    <t xml:space="preserve">1. ระบบแสดงข้อความแจ้งเตือนว่า 
false  /  124   /   รับชำระจำนวนเงินขั้นต่ำ 1.00 บาท
1.00 = ค่า Min ที่กำหนดไว้ใน WS_CLIENT_CONFIG                                                   
2. ระบบไม่บันทึกข้อมูลลงฐานข้อมูล table ws_online_tx </t>
  </si>
  <si>
    <t>ยอดเงิน!A1</t>
  </si>
  <si>
    <t xml:space="preserve">รับชำระยอดเงินมากกว่ายอด Max ที่กำหนดไว้
- ระบุค่า billamount  49001
- กดปุ่ม DataExchange 
</t>
  </si>
  <si>
    <t xml:space="preserve">1. ระบบแสดงข้อความแจ้งเตือนว่า 
false  /  125   /   รับชำระไม่เกิน 49,000.00 บาท
XXX = ค่า Max ที่กำหนดไว้ใน WS_CLIENT_CONFIG                                                  
 2. ระบบไม่บันทึกข้อมูลลงฐานข้อมูล table ws_online_tx </t>
  </si>
  <si>
    <t>ตรวจสอบการรับชำระยอดเงินด้วยทศนิยม 
ลงตัว และ ไม่ลงตัว</t>
  </si>
  <si>
    <t>- "ไม่"รองรับทศนิยม รับเฉพาะ 0.00 เท่านั้น</t>
  </si>
  <si>
    <t>ตรวจสอบการคิดค่าบริการ</t>
  </si>
  <si>
    <r>
      <rPr>
        <b/>
        <sz val="14"/>
        <rFont val="CordiaUPC"/>
        <family val="2"/>
      </rPr>
      <t>กรณีรับชำระรายการโดยใช้สาขาในกทม.และปริมณฑล</t>
    </r>
    <r>
      <rPr>
        <sz val="14"/>
        <rFont val="CordiaUPC"/>
        <family val="2"/>
      </rPr>
      <t xml:space="preserve">
-ระบุค่า Zone ที่โปรแกรม simulatior ในช่อง Zone</t>
    </r>
    <r>
      <rPr>
        <sz val="14"/>
        <color rgb="FFFF0000"/>
        <rFont val="CordiaUPC"/>
        <family val="2"/>
      </rPr>
      <t xml:space="preserve"> (Zone 1)</t>
    </r>
    <r>
      <rPr>
        <sz val="14"/>
        <rFont val="CordiaUPC"/>
        <family val="2"/>
      </rPr>
      <t xml:space="preserve">
-ระบุยอดเงิน 1.00 - 49000.00
-กด ปุ่ม Exchange</t>
    </r>
  </si>
  <si>
    <t>ระบบคิดค่าบริการ 10 บาท</t>
  </si>
  <si>
    <t>ค่าบริการ!A1</t>
  </si>
  <si>
    <r>
      <rPr>
        <b/>
        <sz val="14"/>
        <rFont val="CordiaUPC"/>
        <family val="2"/>
      </rPr>
      <t>กรณีรับชำระรายการโดยใช้สาขาต่างจังหวัด</t>
    </r>
    <r>
      <rPr>
        <sz val="14"/>
        <rFont val="CordiaUPC"/>
        <family val="2"/>
      </rPr>
      <t xml:space="preserve">
-ระบุค่า Zone ที่โปรแกรม simulatior ในช่อง Zone  </t>
    </r>
    <r>
      <rPr>
        <sz val="14"/>
        <color rgb="FFFF0000"/>
        <rFont val="CordiaUPC"/>
        <family val="2"/>
      </rPr>
      <t>(Zone 2)</t>
    </r>
    <r>
      <rPr>
        <sz val="14"/>
        <rFont val="CordiaUPC"/>
        <family val="2"/>
      </rPr>
      <t xml:space="preserve">
-ระบุยอดเงิน 1.00 - 49000.00
-กด ปุ่ม Exchange</t>
    </r>
  </si>
  <si>
    <r>
      <t xml:space="preserve">กรณีที่รายการรับชำระ Status 5 ปรับ Status 1 ที่ระบบ Online
และไม่มีรายการรับชำระดังกล่าวที่เครื่อง SC
</t>
    </r>
    <r>
      <rPr>
        <sz val="14"/>
        <rFont val="CordiaUPC"/>
        <family val="2"/>
      </rPr>
      <t>ทำรายการ DataExchange Status = 1 โดย
- Payment Channel = C05
- รหัสร้าน = ร้านในกลุ่มทำ AutoFix 
รอ AutoFix ซ่อมรายการ</t>
    </r>
  </si>
  <si>
    <t>AutoFix ทำการซ่อมรายการ โดยซ่อมเฉพาะรายการหลักเท่านั้น (ไม่ซ่อมรายการค่าบริการ)
1. UPDATE รายการที่ ONLSTD.WS_ONLINE_TX จาก Status = 1 เป็น 5
2. INSERT LOG ที่ table ONLSTD.WS_ONLINE_LOG
ด้วย TX_ID เดียวกับข้อ 1
3. Write LOG FILE ที่  wasapp/logs/logtmp/11/02/2019</t>
  </si>
  <si>
    <r>
      <t xml:space="preserve">กรณีที่รายการรับชำระ Status 3 ปรับ Status 1  ที่ระบบ Online
และมีรายการรับชำระดังกล่าวที่เครื่อง SC
</t>
    </r>
    <r>
      <rPr>
        <sz val="14"/>
        <rFont val="CordiaUPC"/>
        <family val="2"/>
      </rPr>
      <t>ทำรายการ Confirm Status = 1 โดย
- Payment Channel = C05
- รหัสร้าน = ร้านในกลุ่มทำ AutoFix 
- ที่เครื่อง SC DB POS.CT_DETAIL มีรายการรับชำระ TX_ID เดียวกับรายการ Online
รอ AutoFix ซ่อมรายการ</t>
    </r>
  </si>
  <si>
    <t>AutoFix ทำการซ่อมรายการ โดยซ่อมเฉพาะรายการหลักเท่านั้น (ไม่ซ่อมรายการค่าบริการ)
1. UPDATE รายการที่ ONLSTD.WS_ONLINE_TX จาก Status = 1 เป็น 3
2. INSERT LOG ที่ table ONLSTD.WS_ONLINE_LOG
ด้วย TX_ID เดียวกับข้อ 1
3. Write LOG FILE ที่  wasapp/logs/logtmp/11/02/2019</t>
  </si>
  <si>
    <r>
      <t xml:space="preserve">กรณีที่รายการ OR Status 5 ปรับ Status 6 ที่ระบบ Online
และไม่มีรายการยกเลิก ดังกล่าวที่เครื่อง SC
</t>
    </r>
    <r>
      <rPr>
        <sz val="14"/>
        <rFont val="CordiaUPC"/>
        <family val="2"/>
      </rPr>
      <t>ทำรายการ OR Status = 6 โดย
- Payment Channel = C02 
- รหัสร้าน = ร้านในกลุ่มทำ AutoFix 
- ที่เครื่อง SC DB POS.CT_DETAIL มีรายการยกเลิก TX_ID เดียวกับรายการ Online
รอ AutoFix ซ่อมรายการ</t>
    </r>
  </si>
  <si>
    <t>AutoFix ทำการซ่อมรายการ โดยซ่อมเฉพาะรายการหลักเท่านั้น (ไม่ซ่อมรายการค่าบริการ)
1. UPDATE รายการ OR ที่ ONLSTD.WS_ONLINE_TX จาก Status = 6 เป็น 5
2. INSERT LOG ที่ table ONLSTD.WS_ONLINE_LOG
ด้วย TX_ID เดียวกับข้อ 1
3. Write LOG FILE ที่  wasapp/logs/logtmp/11/02/2019</t>
  </si>
  <si>
    <r>
      <t xml:space="preserve">กรณีที่รายการ OR Status 9 ปรับ Status 6 ที่ระบบ Online
และมีรายการยกเลิก ดังกล่าวที่เครื่อง SC
</t>
    </r>
    <r>
      <rPr>
        <sz val="14"/>
        <rFont val="CordiaUPC"/>
        <family val="2"/>
      </rPr>
      <t>ทำรายการ ORConfirm  Status = 9 โดย
- Payment Channel = C02 
- รหัสร้าน = ร้านในกลุ่มทำ AutoFix 
- ที่เครื่อง SC DB POS.CT_DETAIL มีรายการยกเลิก TX_ID เดียวกับรายการ Online
รอ AutoFix ซ่อมรายการ</t>
    </r>
  </si>
  <si>
    <t>AutoFix ทำการซ่อมรายการ โดยซ่อมเฉพาะรายการหลักเท่านั้น (ไม่ซ่อมรายการค่าบริการ)
1. UPDATE รายการ OR ที่ ONLSTD.WS_ONLINE_TX จาก Status = 6 เป็น 9
2. INSERT LOG ที่ table ONLSTD.WS_ONLINE_LOG
ด้วย TX_ID เดียวกับข้อ 1
3. Write LOG FILE ที่  wasapp/logs/logtmp/11/02/2019</t>
  </si>
  <si>
    <r>
      <t xml:space="preserve">กรณีที่รายการรับชำระค้าง Status 2 (BF2) ที่ระบบ Online
เนื่องจากส่ง Confirm หาผวจ.ไม่สำเร็จ
</t>
    </r>
    <r>
      <rPr>
        <sz val="14"/>
        <rFont val="CordiaUPC"/>
        <family val="2"/>
      </rPr>
      <t>- ต้องเป็นรหัสร้านที่ Set ให้ทำ AutoFix
- ช่องทางการชำระต้องเป็น C02
- ทำรายการที่ POS ให้ Complete Status = 3 
- ปรับ Status ที่รายการ Online ให้เป็น Status = 2
- รอ AutoResend ซ่อมรายการ</t>
    </r>
  </si>
  <si>
    <t xml:space="preserve">AutoFix ทำการซ่อมรายการ โดยซ่อมเฉพาะรายการหลักเท่านั้น (ไม่ซ่อมรายการค่าบริการ)
1. UPDATE รายการที่ ONLSTD.WS_ONLINE_TX จาก Status = 2 เป็น 3
2. INSERT LOG ที่ table ONLSTD.WS_ONLINE_LOG
ด้วย TX_ID เดียวกับข้อ 1
3. UPDATE รายการที่ CSONLINE.WS_CSONLINE_TX จาก Status = 2 เป็น 3
4. INSERT LOG ที่ table CSONLINE.WS_CSONLINE_LOG
ด้วย TX_ID เดียวกับข้อ 1
5. Write LOG FILE ที่ /wasapp/logs/logtmp/29032019 </t>
  </si>
  <si>
    <r>
      <t xml:space="preserve">กรณีที่รายการ OR ค้าง Status 8 (ORBF1) ที่ระบบ Online
OR ไม่สำเร็จ เนื่องจากส่ง ORConfirm หาผวจ.ไม่สำเร็จ
</t>
    </r>
    <r>
      <rPr>
        <sz val="14"/>
        <rFont val="CordiaUPC"/>
        <family val="2"/>
      </rPr>
      <t>- ต้องเป็นรหัสร้านที่ Set ให้ทำ AutoFix
- ช่องทางการชำระต้องเป็น C02
- ทำรายการที่ POS โดยทำรายการ OR Complete Status = 9
- ปรับ Status ที่รายการ OR Online ให้เป็น Status = 8
- รอ AutoResend ซ่อมรายการ</t>
    </r>
  </si>
  <si>
    <t>ตรวจสอบ ErrorCode</t>
  </si>
  <si>
    <t>ตรวจสอบการ Return ErrorCode</t>
  </si>
  <si>
    <t>ไม่มีกำหนด Error code</t>
  </si>
  <si>
    <t>ตรวจสอบการส่งค่าตาม SPEC API</t>
  </si>
  <si>
    <t>ตรวจสอบข้อมูล การส่งค่าตาม SPEC API</t>
  </si>
  <si>
    <t>ระบบมีการส่งข้อมูล ค่าต่างๆ สอดคล้องกับ ตัวอย่างเอกสาร SPEC API</t>
  </si>
  <si>
    <t>Solution 
ในการพัฒนาระบบ</t>
  </si>
  <si>
    <t>REPRINT</t>
  </si>
  <si>
    <t>UPLOAD</t>
  </si>
  <si>
    <t>DEL-UPLOAD</t>
  </si>
  <si>
    <t>MIN</t>
  </si>
  <si>
    <t>MAX</t>
  </si>
  <si>
    <t>ค่าบริการ 
กรุงเทพ</t>
  </si>
  <si>
    <t>ค่าบริการ
ต่างจังหวัด</t>
  </si>
  <si>
    <t>CHK_AMT</t>
  </si>
  <si>
    <t>check Dup</t>
  </si>
  <si>
    <t xml:space="preserve">New Full </t>
  </si>
  <si>
    <t>Full Online</t>
  </si>
  <si>
    <t>ไม่รองรับทศนิยม</t>
  </si>
  <si>
    <t>Online Check</t>
  </si>
  <si>
    <t>Notes</t>
  </si>
  <si>
    <t>Mail Confirm Error Code</t>
  </si>
  <si>
    <t>Click =&gt;</t>
  </si>
  <si>
    <r>
      <t xml:space="preserve">TEST ENVIRONMENT </t>
    </r>
    <r>
      <rPr>
        <sz val="10"/>
        <color indexed="12"/>
        <rFont val="Arial"/>
        <family val="2"/>
        <charset val="222"/>
      </rPr>
      <t>หากกำหนดEnvironmentไว้ใน Test Plan ไม่ต้องใส่รายละเอียด</t>
    </r>
  </si>
  <si>
    <t>ระบุ Project ID เช่น GO0145</t>
  </si>
  <si>
    <t>ระบุเลขที่ของ Environment ตามTest Plan</t>
  </si>
  <si>
    <t>Count จำนวน Priority (P1) ในการทดสอบ</t>
  </si>
  <si>
    <t>ระบุชื่อ Project เช่น 7 Online Top up….</t>
  </si>
  <si>
    <t>Client/Server</t>
  </si>
  <si>
    <t>Count จำนวน Priority (P2) ในการทดสอบ</t>
  </si>
  <si>
    <t>PC/NOTEBOOK CAPABILITIES:</t>
  </si>
  <si>
    <t>Count จำนวน Priority (P3) ในการทดสอบ</t>
  </si>
  <si>
    <t xml:space="preserve">ระบุเลขที่ Test Case </t>
  </si>
  <si>
    <t>ระบุ Version/ Revision ของ Test Case</t>
  </si>
  <si>
    <t>ระบุชื่อTest Case หรืออาจเป็นคำอธิบาย</t>
  </si>
  <si>
    <t>SERVER CAPABILITIES:</t>
  </si>
  <si>
    <t>ใส่วัตถุประสงค์ในการทดสอบ</t>
  </si>
  <si>
    <t>วันที่หรือช่วงวันที่ทำการทดสอบ</t>
  </si>
  <si>
    <t>ระบุว่าเป็นการทดสอบครั้งที่เท่าใด ในกรณีที่ใช้Test case เดิม</t>
  </si>
  <si>
    <t>ระบุเงื่อนไขก่อนทำการทดสอบ</t>
  </si>
  <si>
    <t>ระบุเงื่อนไขอื่น ๆ หรือสิ่งที่ผู้ทดสอบต้องระวังขณะทำการทดสอบ</t>
  </si>
  <si>
    <r>
      <rPr>
        <b/>
        <sz val="14"/>
        <rFont val="Cordia New"/>
        <family val="2"/>
      </rPr>
      <t>TEST DATA LOCATION</t>
    </r>
    <r>
      <rPr>
        <b/>
        <sz val="14"/>
        <color indexed="12"/>
        <rFont val="Cordia New"/>
        <family val="2"/>
        <charset val="1"/>
      </rPr>
      <t xml:space="preserve">: </t>
    </r>
    <r>
      <rPr>
        <sz val="10"/>
        <color indexed="12"/>
        <rFont val="Arial"/>
        <family val="2"/>
        <charset val="222"/>
      </rPr>
      <t>ระบุที่เก็บdata ที่ใช้ในการทดสอบ</t>
    </r>
  </si>
  <si>
    <t xml:space="preserve"> ระบุเอกสารอ้างอิง เช่น USED CASES, MODULE, FORM REFERENCE, FUNCTIONAL SPECIFICATION</t>
  </si>
  <si>
    <r>
      <rPr>
        <b/>
        <sz val="14"/>
        <rFont val="Cordia New"/>
        <family val="2"/>
      </rPr>
      <t xml:space="preserve">OS : </t>
    </r>
    <r>
      <rPr>
        <sz val="10"/>
        <color indexed="12"/>
        <rFont val="Arial"/>
        <family val="2"/>
        <charset val="222"/>
      </rPr>
      <t>ระบุ OS ของเครื่องทดสอบ</t>
    </r>
  </si>
  <si>
    <t>ใส่เวลาที่ใช้ในการทดสอบทั้งหมด</t>
  </si>
  <si>
    <r>
      <rPr>
        <b/>
        <sz val="14"/>
        <rFont val="Cordia New"/>
        <family val="2"/>
      </rPr>
      <t>WEB BROWSER :</t>
    </r>
    <r>
      <rPr>
        <b/>
        <sz val="14"/>
        <color indexed="12"/>
        <rFont val="Cordia New"/>
        <family val="2"/>
        <charset val="1"/>
      </rPr>
      <t xml:space="preserve"> </t>
    </r>
    <r>
      <rPr>
        <sz val="14"/>
        <color indexed="12"/>
        <rFont val="Cordia New"/>
        <family val="2"/>
      </rPr>
      <t>ระบุ Web browser และ Version ที่ใช้ในการทดสอบ เช่น Internet Explorer 11, Chrome) เป็นต้น หากไม่ได้ใช้ Web browser ในการทดสอบ ให้ระบุเป็น</t>
    </r>
    <r>
      <rPr>
        <b/>
        <sz val="14"/>
        <color indexed="12"/>
        <rFont val="Cordia New"/>
        <family val="2"/>
      </rPr>
      <t xml:space="preserve"> N/A </t>
    </r>
  </si>
  <si>
    <t>ระบุชื่อผู้ทำเอกสาร</t>
  </si>
  <si>
    <t>ระบุชื่อผู้Reviewเอกสาร</t>
  </si>
  <si>
    <t>(ถ้าไม่มีเลขที่อ้างอิงให้ใส่รายละเอียดมากเท่าที่จะสามารถทำได้)</t>
  </si>
  <si>
    <t>เลขที่ลำดับขั้นตอน</t>
  </si>
  <si>
    <t>วันที่แก้ไขเปลี่ยนแปลงรายละเอียดTest case หรือExpected result</t>
  </si>
  <si>
    <t>Flag ระบุPriority สำหรับการทดสอบ</t>
  </si>
  <si>
    <t>คำอธิบายรายละเอียด หรือขั้นตอนการทดสอบ</t>
  </si>
  <si>
    <t>ระบุข้อมูลที่ใช้ในการทดสอบ หรือเลขที่ Scenerio</t>
  </si>
  <si>
    <t>ผลที่คาดว่าจะเกิดหลังจากทำตามScriptที่ระบุ</t>
  </si>
  <si>
    <t>ผลที่เกิดจริงหลังจากทำตามScriptที่ระบุ</t>
  </si>
  <si>
    <t>สรุปผลการทดสอบ Pass เมื่อผลเป็นไปตามที่คาดไว้ และ Fail เมื่อไม่เกิดตามที่คาดไว้</t>
  </si>
  <si>
    <t>เวลาที่ใช้ในการทำตามScriptที่ระบุ</t>
  </si>
  <si>
    <t>ในกรณีที่พบDefectสามารถทำซ้ำได้หรือไม่/หมายเหตุเพิ่มเติมเพื่อประกอบความเข้าใจ</t>
  </si>
  <si>
    <t>P1/P2/P3</t>
  </si>
  <si>
    <t>Pass / Fail</t>
  </si>
  <si>
    <t>Note:</t>
  </si>
  <si>
    <t xml:space="preserve">ในการทำการ save file test case ให้ save ตาม test case no เพื่อสะดวกในการตรวจสอบ </t>
  </si>
  <si>
    <t xml:space="preserve"> Version และ Revision ของ Test Case นี้ เมื่อเริ่มสร้างครั้งแรกคือ 1.0 และเมื่อมีการเปลี่ยนปลงจาก change request ต่าง ๆ ก็ปรับเป็น 1.1, 1.2 กรณีที่มีการเปลี่ยนแปลงโดยที่ขั้นตอนการทดสอบต้องแก้ไขใหม่หมด แต่ผลลัพธ์เหมือนเดิม ให้ทำการเปลี่ยน Version เป็น 2, 3 ได้</t>
  </si>
  <si>
    <t>Priority คือ</t>
  </si>
  <si>
    <t xml:space="preserve">Priority - 1 (P1) : Allocated to all tests that must be executed in any case.
</t>
  </si>
  <si>
    <t>Priority - 2 (P2) : Allocated to the tests which can be executed, only when time permits.</t>
  </si>
  <si>
    <t xml:space="preserve">Priority - 3 (P3) : Allocated to the tests, which even if not executed, will not cause big upsets. </t>
  </si>
  <si>
    <t>Test Phase</t>
  </si>
  <si>
    <t>Test Priority</t>
  </si>
  <si>
    <t>Test Environment</t>
  </si>
  <si>
    <t>Unit</t>
  </si>
  <si>
    <t>High</t>
  </si>
  <si>
    <t>Stand Alone</t>
  </si>
  <si>
    <t>Medium</t>
  </si>
  <si>
    <t>System</t>
  </si>
  <si>
    <t>Low</t>
  </si>
  <si>
    <t>Web Browser</t>
  </si>
  <si>
    <t>UAT</t>
  </si>
  <si>
    <t>Other, Please specify</t>
  </si>
  <si>
    <t>1 หมายถึง กำหนดค่าบริการตาม WS_CLIENT_CHARGE</t>
  </si>
  <si>
    <t>2 หมายถึง กำหนดค่าบริการเป็นขั้นตาม WS_CLIENT_CHARGE_STEP</t>
  </si>
  <si>
    <t>3 หมายถึง กำหนดค่าบริการเป็นขั้นตาม WS_CLIENT_CHARGE_STEP เหมือนกัน แต่เอาค่าเงินที่ได้จากตอนที่ ผวจ. ตอบกลับมา มาคิดว่าอยู่ในช่วงไหน</t>
  </si>
  <si>
    <t>4 หมายถึง คิดค่าบริการแบบรวม แต่ละ transaction</t>
  </si>
  <si>
    <t>N หมายถึง ไม่คิดค่าบริการ</t>
  </si>
  <si>
    <t>M</t>
  </si>
  <si>
    <t>M หมายถึง รองรับค่าบริการแบบว่าส่งหลาย ๆ Vendor กลับไปหาร้าน</t>
  </si>
  <si>
    <t>Y = แก้ไขเงินได้</t>
  </si>
  <si>
    <t>N = แก้ไขเงินไม่ได้</t>
  </si>
  <si>
    <t>1 = "ไม่"รองรับทศนิยม รับเฉพาะ 0.00 เท่านั้น</t>
  </si>
  <si>
    <t>2 =  รองรับ"ลงตัว" 0.00 , 0.25, 0.50 , 0.75</t>
  </si>
  <si>
    <t>N = รองรับทศนิยม "ไม่" ลงตัว 0.00,0.01,...0.99</t>
  </si>
  <si>
    <t>BBK</t>
  </si>
  <si>
    <t>กรุงเทพมหานคร</t>
  </si>
  <si>
    <t>ค่าขยะ</t>
  </si>
  <si>
    <t>25009A</t>
  </si>
  <si>
    <t>10,20</t>
  </si>
  <si>
    <t>10,21</t>
  </si>
  <si>
    <t xml:space="preserve">New Client 10972_กรุงเทพมหานคร
 (Owner AE : Thanat-On N. / BA : Arreeya S. , Channel : POS, SAMEDAY, BACKEND) 
- Service 01-50 ชำระค่าขยะ
- ระบบ Full online
 - Memo : CS-BUD3 642/2568 
- มีผลวันที่ 28 สิงหาคม 2568
 - อ้างอิงเอกสาร =&gt; 10972_กรุงเทพมหานครV0.4.xlsx
</t>
  </si>
  <si>
    <t>CP ALL GROUP-2025/03746</t>
  </si>
  <si>
    <t>ไม่พบ ref1 หรือ ref2 ที่ตรงกัน</t>
  </si>
  <si>
    <t>Order นี้มีการชำระเงินแล้ว</t>
  </si>
  <si>
    <t>ยอดชำระเงิน ไม่ตรงกับที่กำหนดไว้</t>
  </si>
  <si>
    <t>เกิดปัญหาที่ระบบ ไม่สามารถรับชำระได้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</si>
</sst>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\ h:mm:ss"/>
  </numFmts>
  <fonts count="4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1"/>
      <name val="Tahoma"/>
    </font>
    <font>
      <sz val="14"/>
      <name val="Cordia New"/>
      <family val="2"/>
    </font>
    <font>
      <b/>
      <sz val="14"/>
      <name val="Cordia New"/>
      <family val="2"/>
    </font>
    <font>
      <sz val="8"/>
      <name val="Tahoma"/>
      <family val="2"/>
      <scheme val="minor"/>
    </font>
    <font>
      <sz val="10"/>
      <name val="Arial"/>
      <family val="2"/>
      <charset val="222"/>
    </font>
    <font>
      <sz val="14"/>
      <color rgb="FFFF0000"/>
      <name val="Cordia New"/>
      <family val="2"/>
    </font>
    <font>
      <b/>
      <sz val="18"/>
      <name val="Cordia New"/>
      <family val="2"/>
      <charset val="1"/>
    </font>
    <font>
      <sz val="18"/>
      <name val="Arial"/>
      <family val="2"/>
      <charset val="222"/>
    </font>
    <font>
      <b/>
      <sz val="14"/>
      <name val="Cordia New"/>
      <family val="2"/>
      <charset val="1"/>
    </font>
    <font>
      <sz val="14"/>
      <name val="Arial"/>
      <family val="2"/>
      <charset val="222"/>
    </font>
    <font>
      <sz val="14"/>
      <name val="Cordia New"/>
      <family val="2"/>
      <charset val="1"/>
    </font>
    <font>
      <b/>
      <sz val="8"/>
      <name val="Arial"/>
      <family val="2"/>
      <charset val="222"/>
    </font>
    <font>
      <b/>
      <sz val="14"/>
      <color indexed="18"/>
      <name val="Cordia New"/>
      <family val="2"/>
    </font>
    <font>
      <b/>
      <sz val="10"/>
      <name val="Arial"/>
      <family val="2"/>
    </font>
    <font>
      <sz val="10"/>
      <name val="Arial"/>
      <family val="2"/>
    </font>
    <font>
      <sz val="14"/>
      <color indexed="10"/>
      <name val="Cordia New"/>
      <family val="2"/>
    </font>
    <font>
      <b/>
      <u/>
      <sz val="14"/>
      <name val="Cordia New"/>
      <family val="2"/>
      <charset val="1"/>
    </font>
    <font>
      <sz val="14"/>
      <color indexed="12"/>
      <name val="Cordia New"/>
      <family val="2"/>
      <charset val="1"/>
    </font>
    <font>
      <b/>
      <sz val="14"/>
      <color rgb="FFFF0000"/>
      <name val="Cordia New"/>
      <family val="2"/>
    </font>
    <font>
      <sz val="14"/>
      <name val="CordiaUPC"/>
      <family val="2"/>
    </font>
    <font>
      <b/>
      <sz val="14"/>
      <name val="CordiaUPC"/>
      <family val="2"/>
    </font>
    <font>
      <sz val="14"/>
      <color theme="1"/>
      <name val="Cordia New"/>
      <family val="2"/>
    </font>
    <font>
      <b/>
      <sz val="14"/>
      <color indexed="12"/>
      <name val="Cordia New"/>
      <family val="2"/>
    </font>
    <font>
      <sz val="14"/>
      <color rgb="FFFF0000"/>
      <name val="Cordia New"/>
      <family val="2"/>
      <charset val="1"/>
    </font>
    <font>
      <b/>
      <sz val="14"/>
      <name val="Angsana New"/>
      <family val="1"/>
    </font>
    <font>
      <sz val="12"/>
      <name val="Browallia New"/>
      <family val="2"/>
    </font>
    <font>
      <u/>
      <sz val="10"/>
      <color theme="10"/>
      <name val="Arial"/>
      <family val="2"/>
      <charset val="222"/>
    </font>
    <font>
      <u/>
      <sz val="14"/>
      <name val="CordiaUPC"/>
      <family val="2"/>
    </font>
    <font>
      <sz val="14"/>
      <color indexed="12"/>
      <name val="CordiaUPC"/>
      <family val="2"/>
    </font>
    <font>
      <sz val="14"/>
      <color rgb="FF0033CC"/>
      <name val="CordiaUPC"/>
      <family val="2"/>
    </font>
    <font>
      <u/>
      <sz val="14"/>
      <color theme="10"/>
      <name val="CordiaUPC"/>
      <family val="2"/>
    </font>
    <font>
      <b/>
      <sz val="14"/>
      <color theme="0"/>
      <name val="CordiaUPC"/>
      <family val="2"/>
    </font>
    <font>
      <b/>
      <sz val="14"/>
      <color rgb="FFFF0000"/>
      <name val="CordiaUPC"/>
      <family val="2"/>
    </font>
    <font>
      <b/>
      <sz val="14"/>
      <color indexed="12"/>
      <name val="CordiaUPC"/>
      <family val="2"/>
    </font>
    <font>
      <b/>
      <u/>
      <sz val="14"/>
      <color theme="10"/>
      <name val="CordiaUPC"/>
      <family val="2"/>
    </font>
    <font>
      <u/>
      <sz val="10"/>
      <name val="Arial"/>
      <family val="2"/>
      <charset val="222"/>
    </font>
    <font>
      <sz val="14"/>
      <color rgb="FFFF0000"/>
      <name val="CordiaUPC"/>
      <family val="2"/>
    </font>
    <font>
      <b/>
      <sz val="14"/>
      <color theme="3" tint="-0.499984740745262"/>
      <name val="CordiaUPC"/>
      <family val="2"/>
    </font>
    <font>
      <b/>
      <sz val="14"/>
      <color rgb="FF0000FF"/>
      <name val="Cordia New"/>
      <family val="2"/>
      <charset val="1"/>
    </font>
    <font>
      <sz val="10"/>
      <color indexed="12"/>
      <name val="Arial"/>
      <family val="2"/>
      <charset val="222"/>
    </font>
    <font>
      <sz val="14"/>
      <color rgb="FF0000FF"/>
      <name val="Cordia New"/>
      <family val="2"/>
      <charset val="1"/>
    </font>
    <font>
      <sz val="14"/>
      <color rgb="FF0000FF"/>
      <name val="Cordia New"/>
      <family val="2"/>
    </font>
    <font>
      <b/>
      <sz val="14"/>
      <color indexed="12"/>
      <name val="Cordia New"/>
      <family val="2"/>
      <charset val="1"/>
    </font>
    <font>
      <b/>
      <sz val="14"/>
      <color rgb="FF0000FF"/>
      <name val="Cordia New"/>
      <family val="2"/>
    </font>
    <font>
      <sz val="14"/>
      <color indexed="12"/>
      <name val="Cordia New"/>
      <family val="2"/>
    </font>
    <font>
      <sz val="14"/>
      <color indexed="10"/>
      <name val="Cordia New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FB6C6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rgb="FFFFFF99"/>
        <bgColor indexed="26"/>
      </patternFill>
    </fill>
    <fill>
      <patternFill patternType="solid">
        <fgColor indexed="8"/>
        <bgColor indexed="58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/>
      <diagonal/>
    </border>
  </borders>
  <cellStyleXfs count="13">
    <xf numFmtId="0" fontId="0" fillId="0" borderId="0"/>
    <xf numFmtId="0" fontId="6" fillId="0" borderId="0"/>
    <xf numFmtId="0" fontId="6" fillId="0" borderId="0" applyFill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313">
    <xf numFmtId="0" fontId="0" fillId="0" borderId="0" xfId="0"/>
    <xf numFmtId="0" fontId="2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87" fontId="0" fillId="0" borderId="1" xfId="0" applyNumberFormat="1" applyBorder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49" fontId="3" fillId="4" borderId="0" xfId="1" applyNumberFormat="1" applyFont="1" applyFill="1"/>
    <xf numFmtId="49" fontId="3" fillId="0" borderId="0" xfId="1" applyNumberFormat="1" applyFont="1"/>
    <xf numFmtId="49" fontId="3" fillId="5" borderId="0" xfId="1" applyNumberFormat="1" applyFont="1" applyFill="1"/>
    <xf numFmtId="49" fontId="3" fillId="0" borderId="1" xfId="1" applyNumberFormat="1" applyFont="1" applyBorder="1"/>
    <xf numFmtId="49" fontId="7" fillId="0" borderId="0" xfId="1" applyNumberFormat="1" applyFont="1"/>
    <xf numFmtId="0" fontId="9" fillId="6" borderId="0" xfId="1" applyFont="1" applyFill="1"/>
    <xf numFmtId="0" fontId="10" fillId="7" borderId="9" xfId="1" applyFont="1" applyFill="1" applyBorder="1" applyAlignment="1">
      <alignment horizontal="left"/>
    </xf>
    <xf numFmtId="0" fontId="10" fillId="7" borderId="10" xfId="1" applyFont="1" applyFill="1" applyBorder="1" applyAlignment="1">
      <alignment horizontal="left"/>
    </xf>
    <xf numFmtId="0" fontId="4" fillId="8" borderId="11" xfId="1" applyFont="1" applyFill="1" applyBorder="1" applyAlignment="1">
      <alignment vertical="center"/>
    </xf>
    <xf numFmtId="0" fontId="4" fillId="8" borderId="12" xfId="1" applyFont="1" applyFill="1" applyBorder="1" applyAlignment="1">
      <alignment vertical="center"/>
    </xf>
    <xf numFmtId="0" fontId="11" fillId="6" borderId="0" xfId="1" applyFont="1" applyFill="1"/>
    <xf numFmtId="0" fontId="10" fillId="6" borderId="13" xfId="1" applyFont="1" applyFill="1" applyBorder="1" applyAlignment="1">
      <alignment horizontal="right" vertical="center" wrapText="1"/>
    </xf>
    <xf numFmtId="0" fontId="10" fillId="6" borderId="15" xfId="1" applyFont="1" applyFill="1" applyBorder="1" applyAlignment="1">
      <alignment vertical="center" wrapText="1"/>
    </xf>
    <xf numFmtId="0" fontId="12" fillId="6" borderId="16" xfId="1" applyFont="1" applyFill="1" applyBorder="1" applyAlignment="1">
      <alignment horizontal="left"/>
    </xf>
    <xf numFmtId="0" fontId="4" fillId="6" borderId="17" xfId="1" applyFont="1" applyFill="1" applyBorder="1"/>
    <xf numFmtId="0" fontId="3" fillId="6" borderId="18" xfId="1" applyFont="1" applyFill="1" applyBorder="1"/>
    <xf numFmtId="0" fontId="4" fillId="6" borderId="19" xfId="1" applyFont="1" applyFill="1" applyBorder="1"/>
    <xf numFmtId="0" fontId="3" fillId="6" borderId="20" xfId="1" applyFont="1" applyFill="1" applyBorder="1"/>
    <xf numFmtId="0" fontId="10" fillId="6" borderId="21" xfId="1" applyFont="1" applyFill="1" applyBorder="1" applyAlignment="1">
      <alignment horizontal="right" vertical="center" wrapText="1"/>
    </xf>
    <xf numFmtId="0" fontId="10" fillId="6" borderId="22" xfId="1" applyFont="1" applyFill="1" applyBorder="1" applyAlignment="1">
      <alignment vertical="center" wrapText="1"/>
    </xf>
    <xf numFmtId="0" fontId="10" fillId="6" borderId="22" xfId="1" applyFont="1" applyFill="1" applyBorder="1" applyAlignment="1">
      <alignment horizontal="right" vertical="center" wrapText="1"/>
    </xf>
    <xf numFmtId="0" fontId="10" fillId="6" borderId="23" xfId="1" applyFont="1" applyFill="1" applyBorder="1" applyAlignment="1">
      <alignment vertical="center"/>
    </xf>
    <xf numFmtId="0" fontId="10" fillId="6" borderId="14" xfId="1" applyFont="1" applyFill="1" applyBorder="1" applyAlignment="1">
      <alignment horizontal="left" vertical="center" wrapText="1"/>
    </xf>
    <xf numFmtId="0" fontId="10" fillId="6" borderId="24" xfId="1" applyFont="1" applyFill="1" applyBorder="1" applyAlignment="1">
      <alignment horizontal="left" vertical="center" wrapText="1"/>
    </xf>
    <xf numFmtId="0" fontId="4" fillId="6" borderId="25" xfId="1" applyFont="1" applyFill="1" applyBorder="1"/>
    <xf numFmtId="0" fontId="3" fillId="6" borderId="26" xfId="1" applyFont="1" applyFill="1" applyBorder="1"/>
    <xf numFmtId="0" fontId="11" fillId="6" borderId="0" xfId="1" applyFont="1" applyFill="1" applyAlignment="1">
      <alignment vertical="center"/>
    </xf>
    <xf numFmtId="0" fontId="10" fillId="6" borderId="27" xfId="1" applyFont="1" applyFill="1" applyBorder="1" applyAlignment="1">
      <alignment vertical="center"/>
    </xf>
    <xf numFmtId="0" fontId="10" fillId="6" borderId="22" xfId="1" applyFont="1" applyFill="1" applyBorder="1" applyAlignment="1">
      <alignment horizontal="left" vertical="center"/>
    </xf>
    <xf numFmtId="0" fontId="10" fillId="6" borderId="28" xfId="1" applyFont="1" applyFill="1" applyBorder="1" applyAlignment="1">
      <alignment horizontal="left" vertical="center"/>
    </xf>
    <xf numFmtId="0" fontId="10" fillId="6" borderId="21" xfId="1" applyFont="1" applyFill="1" applyBorder="1" applyAlignment="1">
      <alignment horizontal="right" vertical="center"/>
    </xf>
    <xf numFmtId="0" fontId="12" fillId="6" borderId="22" xfId="1" applyFont="1" applyFill="1" applyBorder="1" applyAlignment="1">
      <alignment horizontal="left" vertical="center" wrapText="1"/>
    </xf>
    <xf numFmtId="0" fontId="10" fillId="6" borderId="22" xfId="1" applyFont="1" applyFill="1" applyBorder="1" applyAlignment="1">
      <alignment horizontal="left" vertical="center" wrapText="1"/>
    </xf>
    <xf numFmtId="0" fontId="12" fillId="6" borderId="22" xfId="1" applyFont="1" applyFill="1" applyBorder="1" applyAlignment="1">
      <alignment horizontal="left" vertical="top" wrapText="1"/>
    </xf>
    <xf numFmtId="0" fontId="12" fillId="6" borderId="22" xfId="1" applyFont="1" applyFill="1" applyBorder="1" applyAlignment="1">
      <alignment horizontal="left" vertical="center" wrapText="1"/>
    </xf>
    <xf numFmtId="0" fontId="10" fillId="6" borderId="27" xfId="1" applyFont="1" applyFill="1" applyBorder="1" applyAlignment="1">
      <alignment vertical="center" wrapText="1"/>
    </xf>
    <xf numFmtId="0" fontId="10" fillId="6" borderId="28" xfId="1" applyFont="1" applyFill="1" applyBorder="1" applyAlignment="1">
      <alignment horizontal="left" vertical="center" wrapText="1"/>
    </xf>
    <xf numFmtId="0" fontId="10" fillId="6" borderId="29" xfId="1" applyFont="1" applyFill="1" applyBorder="1" applyAlignment="1">
      <alignment horizontal="right" vertical="center" wrapText="1"/>
    </xf>
    <xf numFmtId="0" fontId="12" fillId="6" borderId="28" xfId="1" applyFont="1" applyFill="1" applyBorder="1" applyAlignment="1">
      <alignment horizontal="left" vertical="center"/>
    </xf>
    <xf numFmtId="0" fontId="10" fillId="6" borderId="21" xfId="1" applyFont="1" applyFill="1" applyBorder="1" applyAlignment="1">
      <alignment horizontal="right" vertical="center" wrapText="1" shrinkToFit="1"/>
    </xf>
    <xf numFmtId="0" fontId="10" fillId="6" borderId="30" xfId="1" applyFont="1" applyFill="1" applyBorder="1" applyAlignment="1">
      <alignment vertical="top" wrapText="1"/>
    </xf>
    <xf numFmtId="0" fontId="10" fillId="6" borderId="28" xfId="1" applyFont="1" applyFill="1" applyBorder="1" applyAlignment="1">
      <alignment horizontal="left" vertical="center"/>
    </xf>
    <xf numFmtId="0" fontId="10" fillId="0" borderId="27" xfId="1" applyFont="1" applyBorder="1" applyAlignment="1">
      <alignment horizontal="left" vertical="center" wrapText="1"/>
    </xf>
    <xf numFmtId="0" fontId="10" fillId="0" borderId="22" xfId="1" applyFont="1" applyBorder="1" applyAlignment="1">
      <alignment horizontal="left" vertical="center"/>
    </xf>
    <xf numFmtId="0" fontId="10" fillId="0" borderId="28" xfId="1" applyFont="1" applyBorder="1" applyAlignment="1">
      <alignment horizontal="left" vertical="center"/>
    </xf>
    <xf numFmtId="0" fontId="12" fillId="6" borderId="22" xfId="1" applyFont="1" applyFill="1" applyBorder="1" applyAlignment="1">
      <alignment vertical="top" wrapText="1"/>
    </xf>
    <xf numFmtId="0" fontId="12" fillId="6" borderId="28" xfId="1" applyFont="1" applyFill="1" applyBorder="1" applyAlignment="1">
      <alignment vertical="top" wrapText="1"/>
    </xf>
    <xf numFmtId="0" fontId="11" fillId="6" borderId="31" xfId="1" applyFont="1" applyFill="1" applyBorder="1" applyAlignment="1">
      <alignment horizontal="left"/>
    </xf>
    <xf numFmtId="0" fontId="6" fillId="9" borderId="0" xfId="1" applyFill="1"/>
    <xf numFmtId="0" fontId="6" fillId="0" borderId="0" xfId="1"/>
    <xf numFmtId="0" fontId="17" fillId="0" borderId="0" xfId="1" applyFont="1"/>
    <xf numFmtId="0" fontId="18" fillId="10" borderId="32" xfId="1" applyFont="1" applyFill="1" applyBorder="1" applyAlignment="1">
      <alignment vertical="center" wrapText="1"/>
    </xf>
    <xf numFmtId="0" fontId="18" fillId="10" borderId="0" xfId="1" applyFont="1" applyFill="1" applyAlignment="1">
      <alignment horizontal="center" vertical="center"/>
    </xf>
    <xf numFmtId="0" fontId="18" fillId="10" borderId="32" xfId="1" applyFont="1" applyFill="1" applyBorder="1" applyAlignment="1">
      <alignment horizontal="center" vertical="center" wrapText="1"/>
    </xf>
    <xf numFmtId="0" fontId="11" fillId="0" borderId="0" xfId="1" applyFont="1" applyAlignment="1">
      <alignment vertical="center"/>
    </xf>
    <xf numFmtId="0" fontId="17" fillId="0" borderId="0" xfId="1" applyFont="1" applyAlignment="1">
      <alignment vertical="top"/>
    </xf>
    <xf numFmtId="0" fontId="6" fillId="0" borderId="0" xfId="1" applyAlignment="1">
      <alignment vertical="top" wrapText="1"/>
    </xf>
    <xf numFmtId="0" fontId="4" fillId="0" borderId="0" xfId="5" applyFont="1"/>
    <xf numFmtId="0" fontId="23" fillId="0" borderId="0" xfId="4" applyFont="1"/>
    <xf numFmtId="0" fontId="4" fillId="13" borderId="35" xfId="6" applyFont="1" applyFill="1" applyBorder="1" applyAlignment="1">
      <alignment horizontal="center" vertical="center" wrapText="1"/>
    </xf>
    <xf numFmtId="0" fontId="3" fillId="0" borderId="0" xfId="5" applyFont="1"/>
    <xf numFmtId="0" fontId="20" fillId="0" borderId="0" xfId="5" applyFont="1"/>
    <xf numFmtId="49" fontId="3" fillId="0" borderId="35" xfId="1" applyNumberFormat="1" applyFont="1" applyBorder="1"/>
    <xf numFmtId="0" fontId="8" fillId="6" borderId="0" xfId="1" applyFont="1" applyFill="1" applyAlignment="1">
      <alignment horizontal="center" vertical="center"/>
    </xf>
    <xf numFmtId="0" fontId="21" fillId="6" borderId="14" xfId="4" applyFont="1" applyFill="1" applyBorder="1" applyAlignment="1">
      <alignment horizontal="left" vertical="center" wrapText="1"/>
    </xf>
    <xf numFmtId="0" fontId="21" fillId="6" borderId="22" xfId="4" applyFont="1" applyFill="1" applyBorder="1" applyAlignment="1">
      <alignment horizontal="left" vertical="center" wrapText="1"/>
    </xf>
    <xf numFmtId="0" fontId="10" fillId="6" borderId="22" xfId="1" applyFont="1" applyFill="1" applyBorder="1" applyAlignment="1">
      <alignment horizontal="left"/>
    </xf>
    <xf numFmtId="0" fontId="10" fillId="6" borderId="28" xfId="1" applyFont="1" applyFill="1" applyBorder="1"/>
    <xf numFmtId="0" fontId="22" fillId="6" borderId="22" xfId="4" applyFont="1" applyFill="1" applyBorder="1" applyAlignment="1">
      <alignment vertical="center" wrapText="1"/>
    </xf>
    <xf numFmtId="0" fontId="22" fillId="6" borderId="22" xfId="4" applyFont="1" applyFill="1" applyBorder="1" applyAlignment="1">
      <alignment horizontal="right" vertical="center" wrapText="1"/>
    </xf>
    <xf numFmtId="0" fontId="21" fillId="6" borderId="22" xfId="4" applyFont="1" applyFill="1" applyBorder="1" applyAlignment="1">
      <alignment vertical="center" wrapText="1"/>
    </xf>
    <xf numFmtId="0" fontId="21" fillId="6" borderId="22" xfId="4" applyFont="1" applyFill="1" applyBorder="1" applyAlignment="1">
      <alignment horizontal="left" vertical="center"/>
    </xf>
    <xf numFmtId="0" fontId="12" fillId="6" borderId="33" xfId="1" applyFont="1" applyFill="1" applyBorder="1" applyAlignment="1">
      <alignment horizontal="left" vertical="center" wrapText="1"/>
    </xf>
    <xf numFmtId="0" fontId="12" fillId="6" borderId="28" xfId="1" applyFont="1" applyFill="1" applyBorder="1" applyAlignment="1">
      <alignment horizontal="left" vertical="center" wrapText="1"/>
    </xf>
    <xf numFmtId="14" fontId="12" fillId="6" borderId="22" xfId="1" applyNumberFormat="1" applyFont="1" applyFill="1" applyBorder="1" applyAlignment="1">
      <alignment horizontal="left" vertical="center" wrapText="1"/>
    </xf>
    <xf numFmtId="0" fontId="25" fillId="6" borderId="22" xfId="1" applyFont="1" applyFill="1" applyBorder="1" applyAlignment="1">
      <alignment horizontal="left" vertical="top" wrapText="1"/>
    </xf>
    <xf numFmtId="0" fontId="4" fillId="14" borderId="38" xfId="7" applyFont="1" applyFill="1" applyBorder="1" applyAlignment="1">
      <alignment vertical="center"/>
    </xf>
    <xf numFmtId="0" fontId="4" fillId="14" borderId="37" xfId="7" applyFont="1" applyFill="1" applyBorder="1" applyAlignment="1">
      <alignment horizontal="left" vertical="center" wrapText="1"/>
    </xf>
    <xf numFmtId="0" fontId="4" fillId="14" borderId="37" xfId="7" applyFont="1" applyFill="1" applyBorder="1" applyAlignment="1">
      <alignment horizontal="center" vertical="center" wrapText="1"/>
    </xf>
    <xf numFmtId="0" fontId="4" fillId="14" borderId="37" xfId="7" applyFont="1" applyFill="1" applyBorder="1" applyAlignment="1">
      <alignment horizontal="center" vertical="center"/>
    </xf>
    <xf numFmtId="0" fontId="4" fillId="14" borderId="37" xfId="7" applyFont="1" applyFill="1" applyBorder="1" applyAlignment="1">
      <alignment vertical="center"/>
    </xf>
    <xf numFmtId="0" fontId="4" fillId="14" borderId="39" xfId="7" applyFont="1" applyFill="1" applyBorder="1" applyAlignment="1">
      <alignment vertical="center"/>
    </xf>
    <xf numFmtId="0" fontId="26" fillId="15" borderId="40" xfId="8" applyFont="1" applyFill="1" applyBorder="1" applyAlignment="1">
      <alignment horizontal="left" vertical="center" wrapText="1"/>
    </xf>
    <xf numFmtId="0" fontId="26" fillId="15" borderId="41" xfId="8" applyFont="1" applyFill="1" applyBorder="1" applyAlignment="1">
      <alignment horizontal="left" vertical="center"/>
    </xf>
    <xf numFmtId="0" fontId="26" fillId="15" borderId="42" xfId="8" applyFont="1" applyFill="1" applyBorder="1" applyAlignment="1">
      <alignment horizontal="left" vertical="center"/>
    </xf>
    <xf numFmtId="0" fontId="27" fillId="0" borderId="32" xfId="9" applyFont="1" applyBorder="1" applyAlignment="1">
      <alignment horizontal="center" vertical="center"/>
    </xf>
    <xf numFmtId="14" fontId="21" fillId="0" borderId="35" xfId="10" quotePrefix="1" applyNumberFormat="1" applyFont="1" applyBorder="1" applyAlignment="1">
      <alignment horizontal="center" vertical="center"/>
    </xf>
    <xf numFmtId="0" fontId="21" fillId="0" borderId="35" xfId="10" applyFont="1" applyBorder="1" applyAlignment="1">
      <alignment horizontal="center" vertical="center"/>
    </xf>
    <xf numFmtId="0" fontId="21" fillId="0" borderId="35" xfId="2" applyFont="1" applyFill="1" applyBorder="1" applyAlignment="1">
      <alignment vertical="top" wrapText="1"/>
    </xf>
    <xf numFmtId="0" fontId="29" fillId="0" borderId="35" xfId="11" applyFont="1" applyBorder="1" applyAlignment="1" applyProtection="1">
      <alignment vertical="top" wrapText="1"/>
    </xf>
    <xf numFmtId="0" fontId="21" fillId="0" borderId="35" xfId="2" applyFont="1" applyBorder="1" applyAlignment="1">
      <alignment vertical="top" wrapText="1"/>
    </xf>
    <xf numFmtId="0" fontId="21" fillId="11" borderId="35" xfId="2" applyFont="1" applyFill="1" applyBorder="1" applyAlignment="1">
      <alignment vertical="top" wrapText="1"/>
    </xf>
    <xf numFmtId="0" fontId="22" fillId="0" borderId="35" xfId="2" applyFont="1" applyFill="1" applyBorder="1" applyAlignment="1">
      <alignment horizontal="center" vertical="center" wrapText="1"/>
    </xf>
    <xf numFmtId="0" fontId="30" fillId="0" borderId="35" xfId="10" applyFont="1" applyBorder="1" applyAlignment="1">
      <alignment horizontal="center" wrapText="1"/>
    </xf>
    <xf numFmtId="0" fontId="28" fillId="0" borderId="36" xfId="11" applyBorder="1" applyAlignment="1" applyProtection="1">
      <alignment horizontal="center" vertical="center"/>
    </xf>
    <xf numFmtId="0" fontId="17" fillId="0" borderId="0" xfId="7" applyFont="1" applyAlignment="1">
      <alignment vertical="center"/>
    </xf>
    <xf numFmtId="0" fontId="29" fillId="0" borderId="35" xfId="11" applyFont="1" applyBorder="1" applyAlignment="1" applyProtection="1">
      <alignment vertical="top"/>
    </xf>
    <xf numFmtId="0" fontId="28" fillId="0" borderId="8" xfId="11" applyBorder="1" applyAlignment="1" applyProtection="1">
      <alignment horizontal="center" vertical="center"/>
    </xf>
    <xf numFmtId="0" fontId="17" fillId="0" borderId="0" xfId="1" applyFont="1" applyAlignment="1">
      <alignment vertical="center"/>
    </xf>
    <xf numFmtId="0" fontId="30" fillId="16" borderId="35" xfId="10" applyFont="1" applyFill="1" applyBorder="1" applyAlignment="1">
      <alignment horizontal="center" wrapText="1"/>
    </xf>
    <xf numFmtId="0" fontId="21" fillId="0" borderId="35" xfId="10" applyFont="1" applyBorder="1" applyAlignment="1">
      <alignment horizontal="left" vertical="top" wrapText="1"/>
    </xf>
    <xf numFmtId="0" fontId="21" fillId="0" borderId="35" xfId="10" applyFont="1" applyBorder="1"/>
    <xf numFmtId="0" fontId="21" fillId="0" borderId="6" xfId="10" applyFont="1" applyBorder="1" applyAlignment="1">
      <alignment horizontal="left" vertical="top" wrapText="1"/>
    </xf>
    <xf numFmtId="0" fontId="21" fillId="0" borderId="6" xfId="10" applyFont="1" applyBorder="1"/>
    <xf numFmtId="0" fontId="30" fillId="16" borderId="6" xfId="10" applyFont="1" applyFill="1" applyBorder="1" applyAlignment="1">
      <alignment horizontal="center" wrapText="1"/>
    </xf>
    <xf numFmtId="0" fontId="30" fillId="0" borderId="6" xfId="10" applyFont="1" applyBorder="1" applyAlignment="1">
      <alignment horizontal="center" wrapText="1"/>
    </xf>
    <xf numFmtId="0" fontId="21" fillId="0" borderId="36" xfId="10" applyFont="1" applyBorder="1" applyAlignment="1">
      <alignment vertical="top" wrapText="1"/>
    </xf>
    <xf numFmtId="0" fontId="29" fillId="0" borderId="35" xfId="11" applyFont="1" applyFill="1" applyBorder="1" applyAlignment="1" applyProtection="1">
      <alignment vertical="top"/>
    </xf>
    <xf numFmtId="0" fontId="21" fillId="11" borderId="36" xfId="10" applyFont="1" applyFill="1" applyBorder="1" applyAlignment="1">
      <alignment vertical="top" wrapText="1"/>
    </xf>
    <xf numFmtId="0" fontId="21" fillId="0" borderId="36" xfId="10" applyFont="1" applyBorder="1" applyAlignment="1">
      <alignment horizontal="left" vertical="top" wrapText="1"/>
    </xf>
    <xf numFmtId="0" fontId="21" fillId="0" borderId="36" xfId="10" applyFont="1" applyBorder="1"/>
    <xf numFmtId="0" fontId="28" fillId="0" borderId="8" xfId="11" applyBorder="1" applyAlignment="1" applyProtection="1">
      <alignment horizontal="center" vertical="center"/>
    </xf>
    <xf numFmtId="0" fontId="21" fillId="0" borderId="36" xfId="2" applyFont="1" applyFill="1" applyBorder="1" applyAlignment="1">
      <alignment vertical="top" wrapText="1"/>
    </xf>
    <xf numFmtId="0" fontId="29" fillId="0" borderId="36" xfId="11" applyFont="1" applyBorder="1" applyAlignment="1" applyProtection="1">
      <alignment vertical="top"/>
    </xf>
    <xf numFmtId="0" fontId="21" fillId="0" borderId="36" xfId="2" applyFont="1" applyBorder="1" applyAlignment="1">
      <alignment wrapText="1"/>
    </xf>
    <xf numFmtId="0" fontId="21" fillId="0" borderId="35" xfId="2" applyFont="1" applyBorder="1" applyAlignment="1">
      <alignment horizontal="center" vertical="top"/>
    </xf>
    <xf numFmtId="0" fontId="21" fillId="11" borderId="35" xfId="10" applyFont="1" applyFill="1" applyBorder="1" applyAlignment="1">
      <alignment horizontal="left" vertical="top" wrapText="1"/>
    </xf>
    <xf numFmtId="0" fontId="32" fillId="11" borderId="6" xfId="11" applyFont="1" applyFill="1" applyBorder="1" applyAlignment="1" applyProtection="1">
      <alignment horizontal="center" vertical="center"/>
    </xf>
    <xf numFmtId="0" fontId="33" fillId="0" borderId="35" xfId="2" applyFont="1" applyFill="1" applyBorder="1" applyAlignment="1">
      <alignment vertical="center" wrapText="1"/>
    </xf>
    <xf numFmtId="0" fontId="22" fillId="17" borderId="38" xfId="2" applyFont="1" applyFill="1" applyBorder="1" applyAlignment="1">
      <alignment horizontal="center" vertical="center" wrapText="1"/>
    </xf>
    <xf numFmtId="0" fontId="22" fillId="17" borderId="39" xfId="2" applyFont="1" applyFill="1" applyBorder="1" applyAlignment="1">
      <alignment horizontal="center" vertical="center" wrapText="1"/>
    </xf>
    <xf numFmtId="0" fontId="22" fillId="0" borderId="35" xfId="2" applyFont="1" applyBorder="1" applyAlignment="1">
      <alignment horizontal="left" vertical="top" wrapText="1"/>
    </xf>
    <xf numFmtId="0" fontId="34" fillId="11" borderId="35" xfId="2" applyFont="1" applyFill="1" applyBorder="1" applyAlignment="1">
      <alignment horizontal="left" vertical="top" wrapText="1"/>
    </xf>
    <xf numFmtId="0" fontId="35" fillId="0" borderId="35" xfId="10" applyFont="1" applyBorder="1" applyAlignment="1">
      <alignment horizontal="left" wrapText="1"/>
    </xf>
    <xf numFmtId="0" fontId="36" fillId="0" borderId="35" xfId="11" applyFont="1" applyBorder="1" applyAlignment="1" applyProtection="1">
      <alignment horizontal="left" vertical="center"/>
    </xf>
    <xf numFmtId="0" fontId="21" fillId="11" borderId="6" xfId="10" applyFont="1" applyFill="1" applyBorder="1" applyAlignment="1">
      <alignment horizontal="left" vertical="top" wrapText="1"/>
    </xf>
    <xf numFmtId="0" fontId="37" fillId="11" borderId="36" xfId="11" applyFont="1" applyFill="1" applyBorder="1" applyAlignment="1" applyProtection="1">
      <alignment horizontal="left" vertical="top" wrapText="1"/>
    </xf>
    <xf numFmtId="0" fontId="37" fillId="11" borderId="8" xfId="11" applyFont="1" applyFill="1" applyBorder="1" applyAlignment="1" applyProtection="1">
      <alignment horizontal="left" vertical="top" wrapText="1"/>
    </xf>
    <xf numFmtId="0" fontId="37" fillId="11" borderId="6" xfId="11" applyFont="1" applyFill="1" applyBorder="1" applyAlignment="1" applyProtection="1">
      <alignment horizontal="left" vertical="top" wrapText="1"/>
    </xf>
    <xf numFmtId="0" fontId="33" fillId="0" borderId="38" xfId="2" applyFont="1" applyFill="1" applyBorder="1" applyAlignment="1">
      <alignment vertical="center" wrapText="1"/>
    </xf>
    <xf numFmtId="0" fontId="22" fillId="17" borderId="38" xfId="10" applyFont="1" applyFill="1" applyBorder="1" applyAlignment="1">
      <alignment horizontal="center" vertical="center"/>
    </xf>
    <xf numFmtId="0" fontId="22" fillId="17" borderId="39" xfId="10" applyFont="1" applyFill="1" applyBorder="1" applyAlignment="1">
      <alignment horizontal="center" vertical="center"/>
    </xf>
    <xf numFmtId="0" fontId="22" fillId="0" borderId="6" xfId="10" applyFont="1" applyBorder="1" applyAlignment="1">
      <alignment horizontal="left" vertical="top" wrapText="1"/>
    </xf>
    <xf numFmtId="0" fontId="38" fillId="0" borderId="6" xfId="10" quotePrefix="1" applyFont="1" applyBorder="1" applyAlignment="1">
      <alignment horizontal="left" vertical="top" wrapText="1"/>
    </xf>
    <xf numFmtId="0" fontId="28" fillId="11" borderId="6" xfId="11" applyFill="1" applyBorder="1" applyAlignment="1" applyProtection="1">
      <alignment horizontal="center" vertical="center"/>
    </xf>
    <xf numFmtId="0" fontId="39" fillId="0" borderId="35" xfId="2" applyFont="1" applyFill="1" applyBorder="1" applyAlignment="1">
      <alignment vertical="center" wrapText="1"/>
    </xf>
    <xf numFmtId="0" fontId="22" fillId="18" borderId="35" xfId="2" applyFont="1" applyFill="1" applyBorder="1" applyAlignment="1">
      <alignment vertical="center" wrapText="1"/>
    </xf>
    <xf numFmtId="0" fontId="22" fillId="0" borderId="39" xfId="2" applyFont="1" applyFill="1" applyBorder="1" applyAlignment="1">
      <alignment vertical="center" wrapText="1"/>
    </xf>
    <xf numFmtId="0" fontId="33" fillId="0" borderId="35" xfId="2" applyFont="1" applyFill="1" applyBorder="1" applyAlignment="1">
      <alignment horizontal="left" vertical="center" wrapText="1"/>
    </xf>
    <xf numFmtId="0" fontId="38" fillId="11" borderId="35" xfId="2" applyFont="1" applyFill="1" applyBorder="1"/>
    <xf numFmtId="0" fontId="21" fillId="0" borderId="35" xfId="2" applyFont="1" applyBorder="1" applyAlignment="1">
      <alignment horizontal="center" vertical="top" wrapText="1"/>
    </xf>
    <xf numFmtId="0" fontId="21" fillId="0" borderId="35" xfId="2" applyFont="1" applyBorder="1"/>
    <xf numFmtId="0" fontId="21" fillId="0" borderId="6" xfId="10" applyFont="1" applyBorder="1" applyAlignment="1">
      <alignment horizontal="center" vertical="center" wrapText="1"/>
    </xf>
    <xf numFmtId="0" fontId="21" fillId="11" borderId="6" xfId="10" quotePrefix="1" applyFont="1" applyFill="1" applyBorder="1" applyAlignment="1">
      <alignment horizontal="left" vertical="top" wrapText="1"/>
    </xf>
    <xf numFmtId="0" fontId="3" fillId="11" borderId="6" xfId="10" applyFont="1" applyFill="1" applyBorder="1" applyAlignment="1">
      <alignment horizontal="left" vertical="top" wrapText="1"/>
    </xf>
    <xf numFmtId="0" fontId="28" fillId="0" borderId="6" xfId="11" applyFill="1" applyBorder="1" applyAlignment="1" applyProtection="1">
      <alignment horizontal="center" vertical="center"/>
    </xf>
    <xf numFmtId="0" fontId="21" fillId="0" borderId="35" xfId="10" applyFont="1" applyBorder="1" applyAlignment="1">
      <alignment horizontal="center" vertical="center" wrapText="1"/>
    </xf>
    <xf numFmtId="0" fontId="32" fillId="0" borderId="6" xfId="11" applyFont="1" applyFill="1" applyBorder="1" applyAlignment="1" applyProtection="1">
      <alignment horizontal="center" vertical="center"/>
    </xf>
    <xf numFmtId="0" fontId="21" fillId="11" borderId="35" xfId="10" quotePrefix="1" applyFont="1" applyFill="1" applyBorder="1" applyAlignment="1">
      <alignment horizontal="left" vertical="top" wrapText="1"/>
    </xf>
    <xf numFmtId="0" fontId="34" fillId="0" borderId="6" xfId="10" applyFont="1" applyBorder="1" applyAlignment="1">
      <alignment horizontal="center" vertical="center" wrapText="1"/>
    </xf>
    <xf numFmtId="0" fontId="22" fillId="17" borderId="37" xfId="2" applyFont="1" applyFill="1" applyBorder="1" applyAlignment="1">
      <alignment horizontal="center" vertical="center" wrapText="1"/>
    </xf>
    <xf numFmtId="0" fontId="22" fillId="0" borderId="6" xfId="2" applyFont="1" applyFill="1" applyBorder="1" applyAlignment="1">
      <alignment vertical="top" wrapText="1"/>
    </xf>
    <xf numFmtId="0" fontId="34" fillId="0" borderId="6" xfId="10" applyFont="1" applyBorder="1" applyAlignment="1">
      <alignment horizontal="left" vertical="center" wrapText="1"/>
    </xf>
    <xf numFmtId="0" fontId="28" fillId="0" borderId="6" xfId="11" applyFill="1" applyBorder="1" applyAlignment="1" applyProtection="1">
      <alignment horizontal="center" vertical="center" wrapText="1"/>
    </xf>
    <xf numFmtId="0" fontId="22" fillId="0" borderId="35" xfId="2" applyFont="1" applyFill="1" applyBorder="1" applyAlignment="1">
      <alignment vertical="center" wrapText="1"/>
    </xf>
    <xf numFmtId="0" fontId="21" fillId="11" borderId="8" xfId="10" applyFont="1" applyFill="1" applyBorder="1" applyAlignment="1">
      <alignment horizontal="left" vertical="top" wrapText="1"/>
    </xf>
    <xf numFmtId="0" fontId="21" fillId="0" borderId="8" xfId="10" applyFont="1" applyBorder="1" applyAlignment="1">
      <alignment horizontal="left" vertical="top" wrapText="1"/>
    </xf>
    <xf numFmtId="0" fontId="28" fillId="0" borderId="6" xfId="11" quotePrefix="1" applyBorder="1" applyAlignment="1" applyProtection="1">
      <alignment horizontal="center" vertical="center" wrapText="1"/>
    </xf>
    <xf numFmtId="0" fontId="22" fillId="11" borderId="36" xfId="10" applyFont="1" applyFill="1" applyBorder="1" applyAlignment="1">
      <alignment horizontal="left" vertical="top" wrapText="1"/>
    </xf>
    <xf numFmtId="0" fontId="21" fillId="0" borderId="8" xfId="10" applyFont="1" applyBorder="1" applyAlignment="1">
      <alignment horizontal="center" vertical="center" wrapText="1"/>
    </xf>
    <xf numFmtId="0" fontId="22" fillId="0" borderId="35" xfId="10" applyFont="1" applyBorder="1" applyAlignment="1">
      <alignment horizontal="left" vertical="top" wrapText="1"/>
    </xf>
    <xf numFmtId="0" fontId="32" fillId="0" borderId="6" xfId="11" applyFont="1" applyFill="1" applyBorder="1" applyAlignment="1" applyProtection="1">
      <alignment horizontal="center" vertical="center" wrapText="1"/>
    </xf>
    <xf numFmtId="0" fontId="22" fillId="0" borderId="36" xfId="10" applyFont="1" applyBorder="1" applyAlignment="1">
      <alignment horizontal="left" vertical="top" wrapText="1"/>
    </xf>
    <xf numFmtId="0" fontId="21" fillId="11" borderId="35" xfId="2" applyFont="1" applyFill="1" applyBorder="1"/>
    <xf numFmtId="0" fontId="28" fillId="0" borderId="6" xfId="11" applyBorder="1" applyAlignment="1" applyProtection="1">
      <alignment horizontal="center" vertical="center" wrapText="1"/>
    </xf>
    <xf numFmtId="0" fontId="22" fillId="19" borderId="38" xfId="2" applyFont="1" applyFill="1" applyBorder="1" applyAlignment="1">
      <alignment vertical="center" wrapText="1"/>
    </xf>
    <xf numFmtId="0" fontId="38" fillId="11" borderId="36" xfId="10" applyFont="1" applyFill="1" applyBorder="1" applyAlignment="1">
      <alignment horizontal="center" vertical="center" wrapText="1"/>
    </xf>
    <xf numFmtId="0" fontId="28" fillId="11" borderId="35" xfId="11" applyFill="1" applyBorder="1" applyAlignment="1" applyProtection="1">
      <alignment horizontal="center" vertical="center"/>
    </xf>
    <xf numFmtId="0" fontId="22" fillId="11" borderId="35" xfId="10" applyFont="1" applyFill="1" applyBorder="1" applyAlignment="1">
      <alignment horizontal="left" vertical="top" wrapText="1"/>
    </xf>
    <xf numFmtId="0" fontId="22" fillId="11" borderId="35" xfId="2" applyFont="1" applyFill="1" applyBorder="1" applyAlignment="1">
      <alignment horizontal="left" vertical="top" wrapText="1"/>
    </xf>
    <xf numFmtId="0" fontId="32" fillId="11" borderId="35" xfId="11" applyFont="1" applyFill="1" applyBorder="1" applyAlignment="1" applyProtection="1">
      <alignment horizontal="center" vertical="center"/>
    </xf>
    <xf numFmtId="0" fontId="21" fillId="0" borderId="6" xfId="10" quotePrefix="1" applyFont="1" applyBorder="1" applyAlignment="1">
      <alignment horizontal="left" vertical="top" wrapText="1"/>
    </xf>
    <xf numFmtId="0" fontId="21" fillId="0" borderId="35" xfId="10" applyFont="1" applyBorder="1" applyAlignment="1">
      <alignment vertical="top" wrapText="1"/>
    </xf>
    <xf numFmtId="0" fontId="21" fillId="11" borderId="35" xfId="10" applyFont="1" applyFill="1" applyBorder="1" applyAlignment="1">
      <alignment vertical="top" wrapText="1"/>
    </xf>
    <xf numFmtId="0" fontId="28" fillId="0" borderId="7" xfId="11" applyBorder="1" applyAlignment="1" applyProtection="1">
      <alignment horizontal="center" vertical="center"/>
    </xf>
    <xf numFmtId="0" fontId="21" fillId="11" borderId="35" xfId="10" quotePrefix="1" applyFont="1" applyFill="1" applyBorder="1" applyAlignment="1">
      <alignment vertical="top" wrapText="1"/>
    </xf>
    <xf numFmtId="0" fontId="32" fillId="0" borderId="7" xfId="11" applyFont="1" applyBorder="1" applyAlignment="1" applyProtection="1">
      <alignment horizontal="center" vertical="center"/>
    </xf>
    <xf numFmtId="0" fontId="32" fillId="0" borderId="6" xfId="11" applyFont="1" applyBorder="1" applyAlignment="1" applyProtection="1">
      <alignment horizontal="center" vertical="center" wrapText="1"/>
    </xf>
    <xf numFmtId="0" fontId="32" fillId="0" borderId="35" xfId="11" applyFont="1" applyBorder="1" applyAlignment="1" applyProtection="1">
      <alignment horizontal="center" vertical="center" wrapText="1"/>
    </xf>
    <xf numFmtId="0" fontId="3" fillId="0" borderId="43" xfId="1" applyFont="1" applyBorder="1" applyAlignment="1">
      <alignment horizontal="center" vertical="center"/>
    </xf>
    <xf numFmtId="0" fontId="4" fillId="5" borderId="44" xfId="2" applyFont="1" applyFill="1" applyBorder="1" applyAlignment="1">
      <alignment horizontal="center" vertical="center" wrapText="1"/>
    </xf>
    <xf numFmtId="0" fontId="4" fillId="5" borderId="45" xfId="2" applyFont="1" applyFill="1" applyBorder="1" applyAlignment="1">
      <alignment horizontal="center" vertical="center" wrapText="1"/>
    </xf>
    <xf numFmtId="0" fontId="4" fillId="0" borderId="43" xfId="2" applyFont="1" applyFill="1" applyBorder="1" applyAlignment="1">
      <alignment vertical="center" wrapText="1"/>
    </xf>
    <xf numFmtId="0" fontId="7" fillId="0" borderId="43" xfId="2" applyFont="1" applyFill="1" applyBorder="1"/>
    <xf numFmtId="0" fontId="3" fillId="0" borderId="43" xfId="1" applyFont="1" applyBorder="1" applyAlignment="1">
      <alignment vertical="top"/>
    </xf>
    <xf numFmtId="0" fontId="3" fillId="0" borderId="43" xfId="3" applyFont="1" applyBorder="1" applyAlignment="1">
      <alignment horizontal="left" vertical="top" wrapText="1"/>
    </xf>
    <xf numFmtId="0" fontId="23" fillId="0" borderId="43" xfId="3" applyFont="1" applyBorder="1" applyAlignment="1">
      <alignment horizontal="left" vertical="top" wrapText="1"/>
    </xf>
    <xf numFmtId="0" fontId="4" fillId="12" borderId="38" xfId="5" applyFont="1" applyFill="1" applyBorder="1" applyAlignment="1">
      <alignment horizontal="center"/>
    </xf>
    <xf numFmtId="0" fontId="4" fillId="12" borderId="37" xfId="5" applyFont="1" applyFill="1" applyBorder="1" applyAlignment="1">
      <alignment horizontal="center"/>
    </xf>
    <xf numFmtId="0" fontId="4" fillId="12" borderId="39" xfId="5" applyFont="1" applyFill="1" applyBorder="1" applyAlignment="1">
      <alignment horizontal="center"/>
    </xf>
    <xf numFmtId="0" fontId="4" fillId="20" borderId="35" xfId="5" quotePrefix="1" applyFont="1" applyFill="1" applyBorder="1" applyAlignment="1">
      <alignment horizontal="center"/>
    </xf>
    <xf numFmtId="0" fontId="4" fillId="20" borderId="35" xfId="5" applyFont="1" applyFill="1" applyBorder="1" applyAlignment="1">
      <alignment horizontal="center"/>
    </xf>
    <xf numFmtId="0" fontId="4" fillId="20" borderId="35" xfId="5" quotePrefix="1" applyFont="1" applyFill="1" applyBorder="1" applyAlignment="1">
      <alignment horizontal="center"/>
    </xf>
    <xf numFmtId="0" fontId="3" fillId="0" borderId="35" xfId="6" applyFont="1" applyBorder="1" applyAlignment="1">
      <alignment horizontal="center" vertical="center" wrapText="1"/>
    </xf>
    <xf numFmtId="14" fontId="3" fillId="0" borderId="35" xfId="6" applyNumberFormat="1" applyFont="1" applyBorder="1" applyAlignment="1">
      <alignment horizontal="center" vertical="center" wrapText="1"/>
    </xf>
    <xf numFmtId="49" fontId="4" fillId="0" borderId="0" xfId="1" applyNumberFormat="1" applyFont="1"/>
    <xf numFmtId="0" fontId="8" fillId="6" borderId="0" xfId="12" applyFont="1" applyFill="1" applyAlignment="1">
      <alignment horizontal="center"/>
    </xf>
    <xf numFmtId="0" fontId="9" fillId="6" borderId="0" xfId="12" applyFont="1" applyFill="1"/>
    <xf numFmtId="0" fontId="1" fillId="0" borderId="0" xfId="4"/>
    <xf numFmtId="0" fontId="10" fillId="7" borderId="9" xfId="12" applyFont="1" applyFill="1" applyBorder="1" applyAlignment="1">
      <alignment horizontal="left"/>
    </xf>
    <xf numFmtId="0" fontId="40" fillId="7" borderId="10" xfId="12" applyFont="1" applyFill="1" applyBorder="1" applyAlignment="1">
      <alignment horizontal="left"/>
    </xf>
    <xf numFmtId="0" fontId="40" fillId="7" borderId="9" xfId="12" applyFont="1" applyFill="1" applyBorder="1" applyAlignment="1">
      <alignment horizontal="left"/>
    </xf>
    <xf numFmtId="0" fontId="4" fillId="8" borderId="46" xfId="12" applyFont="1" applyFill="1" applyBorder="1" applyAlignment="1">
      <alignment vertical="center"/>
    </xf>
    <xf numFmtId="0" fontId="4" fillId="8" borderId="47" xfId="12" applyFont="1" applyFill="1" applyBorder="1" applyAlignment="1">
      <alignment vertical="center"/>
    </xf>
    <xf numFmtId="0" fontId="10" fillId="6" borderId="13" xfId="12" applyFont="1" applyFill="1" applyBorder="1" applyAlignment="1">
      <alignment horizontal="right" vertical="center" wrapText="1"/>
    </xf>
    <xf numFmtId="0" fontId="42" fillId="6" borderId="14" xfId="12" applyFont="1" applyFill="1" applyBorder="1" applyAlignment="1">
      <alignment horizontal="left" vertical="top" wrapText="1"/>
    </xf>
    <xf numFmtId="0" fontId="12" fillId="6" borderId="14" xfId="12" applyFont="1" applyFill="1" applyBorder="1" applyAlignment="1">
      <alignment horizontal="left" vertical="top" wrapText="1"/>
    </xf>
    <xf numFmtId="0" fontId="10" fillId="6" borderId="15" xfId="12" applyFont="1" applyFill="1" applyBorder="1" applyAlignment="1">
      <alignment vertical="center" wrapText="1"/>
    </xf>
    <xf numFmtId="0" fontId="42" fillId="6" borderId="16" xfId="12" applyFont="1" applyFill="1" applyBorder="1" applyAlignment="1">
      <alignment horizontal="left"/>
    </xf>
    <xf numFmtId="0" fontId="42" fillId="6" borderId="48" xfId="12" applyFont="1" applyFill="1" applyBorder="1" applyAlignment="1">
      <alignment horizontal="left"/>
    </xf>
    <xf numFmtId="0" fontId="4" fillId="6" borderId="49" xfId="12" applyFont="1" applyFill="1" applyBorder="1"/>
    <xf numFmtId="0" fontId="43" fillId="6" borderId="50" xfId="12" applyFont="1" applyFill="1" applyBorder="1"/>
    <xf numFmtId="0" fontId="10" fillId="6" borderId="21" xfId="12" applyFont="1" applyFill="1" applyBorder="1" applyAlignment="1">
      <alignment horizontal="right" vertical="center" wrapText="1"/>
    </xf>
    <xf numFmtId="0" fontId="42" fillId="6" borderId="22" xfId="12" applyFont="1" applyFill="1" applyBorder="1" applyAlignment="1">
      <alignment horizontal="left" vertical="center" wrapText="1"/>
    </xf>
    <xf numFmtId="0" fontId="10" fillId="6" borderId="27" xfId="12" applyFont="1" applyFill="1" applyBorder="1" applyAlignment="1">
      <alignment vertical="center"/>
    </xf>
    <xf numFmtId="0" fontId="40" fillId="6" borderId="22" xfId="12" applyFont="1" applyFill="1" applyBorder="1" applyAlignment="1">
      <alignment horizontal="left"/>
    </xf>
    <xf numFmtId="0" fontId="10" fillId="6" borderId="22" xfId="12" applyFont="1" applyFill="1" applyBorder="1"/>
    <xf numFmtId="0" fontId="4" fillId="6" borderId="51" xfId="12" applyFont="1" applyFill="1" applyBorder="1"/>
    <xf numFmtId="0" fontId="43" fillId="6" borderId="52" xfId="12" applyFont="1" applyFill="1" applyBorder="1"/>
    <xf numFmtId="0" fontId="40" fillId="6" borderId="22" xfId="12" applyFont="1" applyFill="1" applyBorder="1" applyAlignment="1">
      <alignment vertical="center" wrapText="1"/>
    </xf>
    <xf numFmtId="0" fontId="10" fillId="6" borderId="22" xfId="12" applyFont="1" applyFill="1" applyBorder="1" applyAlignment="1">
      <alignment horizontal="right" vertical="center" wrapText="1"/>
    </xf>
    <xf numFmtId="0" fontId="10" fillId="6" borderId="22" xfId="12" applyFont="1" applyFill="1" applyBorder="1" applyAlignment="1">
      <alignment vertical="center" wrapText="1"/>
    </xf>
    <xf numFmtId="0" fontId="18" fillId="6" borderId="23" xfId="12" applyFont="1" applyFill="1" applyBorder="1" applyAlignment="1">
      <alignment vertical="center" wrapText="1"/>
    </xf>
    <xf numFmtId="0" fontId="10" fillId="6" borderId="14" xfId="12" applyFont="1" applyFill="1" applyBorder="1" applyAlignment="1">
      <alignment horizontal="left" vertical="center" wrapText="1"/>
    </xf>
    <xf numFmtId="0" fontId="4" fillId="6" borderId="53" xfId="12" applyFont="1" applyFill="1" applyBorder="1"/>
    <xf numFmtId="0" fontId="43" fillId="6" borderId="54" xfId="12" applyFont="1" applyFill="1" applyBorder="1"/>
    <xf numFmtId="0" fontId="42" fillId="6" borderId="22" xfId="12" applyFont="1" applyFill="1" applyBorder="1" applyAlignment="1">
      <alignment horizontal="left" vertical="center"/>
    </xf>
    <xf numFmtId="0" fontId="10" fillId="6" borderId="22" xfId="12" applyFont="1" applyFill="1" applyBorder="1" applyAlignment="1">
      <alignment horizontal="left" vertical="center"/>
    </xf>
    <xf numFmtId="0" fontId="10" fillId="6" borderId="28" xfId="12" applyFont="1" applyFill="1" applyBorder="1" applyAlignment="1">
      <alignment horizontal="left" vertical="center"/>
    </xf>
    <xf numFmtId="0" fontId="12" fillId="6" borderId="0" xfId="12" applyFont="1" applyFill="1" applyAlignment="1">
      <alignment vertical="center"/>
    </xf>
    <xf numFmtId="0" fontId="10" fillId="6" borderId="21" xfId="12" applyFont="1" applyFill="1" applyBorder="1" applyAlignment="1">
      <alignment horizontal="right" vertical="center"/>
    </xf>
    <xf numFmtId="0" fontId="18" fillId="6" borderId="27" xfId="12" applyFont="1" applyFill="1" applyBorder="1" applyAlignment="1">
      <alignment vertical="center"/>
    </xf>
    <xf numFmtId="0" fontId="10" fillId="6" borderId="22" xfId="12" applyFont="1" applyFill="1" applyBorder="1" applyAlignment="1">
      <alignment horizontal="left" vertical="center" wrapText="1"/>
    </xf>
    <xf numFmtId="0" fontId="10" fillId="6" borderId="28" xfId="12" applyFont="1" applyFill="1" applyBorder="1" applyAlignment="1">
      <alignment horizontal="left" vertical="center" wrapText="1"/>
    </xf>
    <xf numFmtId="0" fontId="12" fillId="6" borderId="0" xfId="12" applyFont="1" applyFill="1"/>
    <xf numFmtId="0" fontId="42" fillId="6" borderId="22" xfId="12" applyFont="1" applyFill="1" applyBorder="1" applyAlignment="1">
      <alignment horizontal="left" vertical="top" wrapText="1"/>
    </xf>
    <xf numFmtId="0" fontId="42" fillId="6" borderId="22" xfId="12" applyFont="1" applyFill="1" applyBorder="1" applyAlignment="1">
      <alignment horizontal="left" vertical="center" wrapText="1"/>
    </xf>
    <xf numFmtId="0" fontId="42" fillId="6" borderId="22" xfId="12" applyFont="1" applyFill="1" applyBorder="1" applyAlignment="1">
      <alignment horizontal="left" vertical="top" wrapText="1"/>
    </xf>
    <xf numFmtId="0" fontId="18" fillId="6" borderId="27" xfId="12" applyFont="1" applyFill="1" applyBorder="1" applyAlignment="1">
      <alignment vertical="center" wrapText="1"/>
    </xf>
    <xf numFmtId="0" fontId="10" fillId="6" borderId="29" xfId="12" applyFont="1" applyFill="1" applyBorder="1" applyAlignment="1">
      <alignment horizontal="right" vertical="center" wrapText="1"/>
    </xf>
    <xf numFmtId="0" fontId="40" fillId="6" borderId="27" xfId="12" applyFont="1" applyFill="1" applyBorder="1" applyAlignment="1">
      <alignment vertical="center"/>
    </xf>
    <xf numFmtId="0" fontId="10" fillId="6" borderId="22" xfId="12" applyFont="1" applyFill="1" applyBorder="1" applyAlignment="1">
      <alignment vertical="center"/>
    </xf>
    <xf numFmtId="0" fontId="10" fillId="6" borderId="28" xfId="12" applyFont="1" applyFill="1" applyBorder="1" applyAlignment="1">
      <alignment vertical="center"/>
    </xf>
    <xf numFmtId="0" fontId="10" fillId="6" borderId="21" xfId="12" applyFont="1" applyFill="1" applyBorder="1" applyAlignment="1">
      <alignment horizontal="right" vertical="center" wrapText="1" shrinkToFit="1"/>
    </xf>
    <xf numFmtId="0" fontId="43" fillId="6" borderId="22" xfId="12" applyFont="1" applyFill="1" applyBorder="1" applyAlignment="1">
      <alignment horizontal="left" vertical="center" wrapText="1"/>
    </xf>
    <xf numFmtId="0" fontId="40" fillId="6" borderId="30" xfId="12" applyFont="1" applyFill="1" applyBorder="1" applyAlignment="1">
      <alignment vertical="center"/>
    </xf>
    <xf numFmtId="0" fontId="10" fillId="6" borderId="0" xfId="12" applyFont="1" applyFill="1" applyAlignment="1">
      <alignment vertical="center"/>
    </xf>
    <xf numFmtId="0" fontId="10" fillId="6" borderId="55" xfId="12" applyFont="1" applyFill="1" applyBorder="1" applyAlignment="1">
      <alignment vertical="center"/>
    </xf>
    <xf numFmtId="0" fontId="45" fillId="0" borderId="27" xfId="12" applyFont="1" applyBorder="1" applyAlignment="1">
      <alignment horizontal="left" vertical="center" wrapText="1"/>
    </xf>
    <xf numFmtId="0" fontId="40" fillId="0" borderId="22" xfId="12" applyFont="1" applyBorder="1" applyAlignment="1">
      <alignment horizontal="left" vertical="center" wrapText="1"/>
    </xf>
    <xf numFmtId="0" fontId="40" fillId="0" borderId="28" xfId="12" applyFont="1" applyBorder="1" applyAlignment="1">
      <alignment horizontal="left" vertical="center" wrapText="1"/>
    </xf>
    <xf numFmtId="0" fontId="42" fillId="6" borderId="22" xfId="12" applyFont="1" applyFill="1" applyBorder="1" applyAlignment="1">
      <alignment vertical="top" wrapText="1"/>
    </xf>
    <xf numFmtId="0" fontId="42" fillId="6" borderId="28" xfId="12" applyFont="1" applyFill="1" applyBorder="1" applyAlignment="1">
      <alignment vertical="top" wrapText="1"/>
    </xf>
    <xf numFmtId="0" fontId="42" fillId="6" borderId="31" xfId="12" applyFont="1" applyFill="1" applyBorder="1" applyAlignment="1">
      <alignment horizontal="left"/>
    </xf>
    <xf numFmtId="0" fontId="6" fillId="9" borderId="0" xfId="12" applyFill="1"/>
    <xf numFmtId="0" fontId="15" fillId="9" borderId="32" xfId="12" applyFont="1" applyFill="1" applyBorder="1" applyAlignment="1">
      <alignment vertical="top" wrapText="1"/>
    </xf>
    <xf numFmtId="0" fontId="16" fillId="9" borderId="32" xfId="12" applyFont="1" applyFill="1" applyBorder="1" applyAlignment="1">
      <alignment wrapText="1"/>
    </xf>
    <xf numFmtId="0" fontId="16" fillId="9" borderId="32" xfId="12" applyFont="1" applyFill="1" applyBorder="1" applyAlignment="1">
      <alignment vertical="top" wrapText="1"/>
    </xf>
    <xf numFmtId="0" fontId="6" fillId="0" borderId="0" xfId="12"/>
    <xf numFmtId="0" fontId="18" fillId="10" borderId="32" xfId="12" applyFont="1" applyFill="1" applyBorder="1" applyAlignment="1">
      <alignment vertical="center" wrapText="1"/>
    </xf>
    <xf numFmtId="0" fontId="18" fillId="10" borderId="32" xfId="12" applyFont="1" applyFill="1" applyBorder="1" applyAlignment="1">
      <alignment horizontal="center" vertical="center" wrapText="1"/>
    </xf>
    <xf numFmtId="0" fontId="18" fillId="10" borderId="34" xfId="12" applyFont="1" applyFill="1" applyBorder="1" applyAlignment="1">
      <alignment horizontal="center" vertical="center" wrapText="1"/>
    </xf>
    <xf numFmtId="0" fontId="12" fillId="0" borderId="0" xfId="12" applyFont="1" applyAlignment="1">
      <alignment vertical="center"/>
    </xf>
    <xf numFmtId="0" fontId="47" fillId="0" borderId="32" xfId="12" applyFont="1" applyBorder="1" applyAlignment="1">
      <alignment vertical="center" wrapText="1"/>
    </xf>
    <xf numFmtId="14" fontId="47" fillId="0" borderId="32" xfId="12" applyNumberFormat="1" applyFont="1" applyBorder="1" applyAlignment="1">
      <alignment vertical="center" wrapText="1"/>
    </xf>
    <xf numFmtId="0" fontId="47" fillId="0" borderId="32" xfId="12" applyFont="1" applyBorder="1" applyAlignment="1">
      <alignment vertical="center"/>
    </xf>
    <xf numFmtId="0" fontId="12" fillId="0" borderId="32" xfId="12" applyFont="1" applyBorder="1" applyAlignment="1">
      <alignment horizontal="center" vertical="center" wrapText="1"/>
    </xf>
    <xf numFmtId="0" fontId="47" fillId="0" borderId="32" xfId="12" applyFont="1" applyBorder="1"/>
    <xf numFmtId="0" fontId="42" fillId="0" borderId="32" xfId="12" applyFont="1" applyBorder="1" applyAlignment="1">
      <alignment vertical="top" wrapText="1"/>
    </xf>
    <xf numFmtId="14" fontId="42" fillId="0" borderId="32" xfId="12" applyNumberFormat="1" applyFont="1" applyBorder="1" applyAlignment="1">
      <alignment vertical="top" wrapText="1"/>
    </xf>
    <xf numFmtId="0" fontId="42" fillId="0" borderId="32" xfId="12" applyFont="1" applyBorder="1" applyAlignment="1">
      <alignment vertical="top"/>
    </xf>
    <xf numFmtId="0" fontId="42" fillId="0" borderId="32" xfId="12" applyFont="1" applyBorder="1" applyAlignment="1">
      <alignment horizontal="center" vertical="top" wrapText="1"/>
    </xf>
    <xf numFmtId="0" fontId="19" fillId="0" borderId="32" xfId="12" applyFont="1" applyBorder="1"/>
    <xf numFmtId="0" fontId="47" fillId="0" borderId="0" xfId="12" applyFont="1"/>
    <xf numFmtId="0" fontId="19" fillId="0" borderId="32" xfId="12" applyFont="1" applyBorder="1" applyAlignment="1">
      <alignment horizontal="center"/>
    </xf>
    <xf numFmtId="0" fontId="19" fillId="0" borderId="32" xfId="12" applyFont="1" applyBorder="1" applyAlignment="1">
      <alignment vertical="top" wrapText="1"/>
    </xf>
    <xf numFmtId="0" fontId="47" fillId="0" borderId="32" xfId="12" applyFont="1" applyBorder="1" applyAlignment="1">
      <alignment vertical="top" wrapText="1"/>
    </xf>
    <xf numFmtId="0" fontId="19" fillId="0" borderId="0" xfId="12" applyFont="1"/>
    <xf numFmtId="0" fontId="19" fillId="0" borderId="0" xfId="12" applyFont="1" applyAlignment="1">
      <alignment vertical="top" wrapText="1"/>
    </xf>
    <xf numFmtId="0" fontId="17" fillId="0" borderId="0" xfId="12" applyFont="1"/>
    <xf numFmtId="0" fontId="17" fillId="0" borderId="0" xfId="12" applyFont="1" applyAlignment="1">
      <alignment vertical="top" wrapText="1"/>
    </xf>
    <xf numFmtId="0" fontId="45" fillId="0" borderId="0" xfId="12" applyFont="1"/>
    <xf numFmtId="0" fontId="43" fillId="0" borderId="0" xfId="12" applyFont="1"/>
    <xf numFmtId="0" fontId="43" fillId="0" borderId="0" xfId="12" applyFont="1" applyAlignment="1">
      <alignment vertical="top" wrapText="1"/>
    </xf>
    <xf numFmtId="14" fontId="1" fillId="0" borderId="0" xfId="4" applyNumberFormat="1"/>
    <xf numFmtId="0" fontId="12" fillId="0" borderId="0" xfId="1" applyFont="1"/>
    <xf numFmtId="17" fontId="3" fillId="0" borderId="35" xfId="6" applyNumberFormat="1" applyFont="1" applyBorder="1" applyAlignment="1">
      <alignment horizontal="center" vertical="center" wrapText="1"/>
    </xf>
    <xf numFmtId="0" fontId="3" fillId="0" borderId="35" xfId="6" applyFont="1" applyBorder="1" applyAlignment="1">
      <alignment horizontal="left" vertical="center" wrapText="1"/>
    </xf>
  </cellXfs>
  <cellStyles count="13">
    <cellStyle name="_Table2_Out" xfId="2" xr:uid="{D7D6BD19-7DE8-4776-9DA9-0BBB1977B9A7}"/>
    <cellStyle name="Hyperlink 2" xfId="11" xr:uid="{0EE0DC28-C444-4254-B74D-1842A324DBA9}"/>
    <cellStyle name="Normal" xfId="0" builtinId="0"/>
    <cellStyle name="Normal 10" xfId="1" xr:uid="{62983401-9433-41FA-8EE0-320ADDD8731C}"/>
    <cellStyle name="Normal 11" xfId="3" xr:uid="{23A07389-594D-4195-8DE0-EAE8AA56E1BF}"/>
    <cellStyle name="Normal 2" xfId="4" xr:uid="{91F93107-7370-4230-AA83-6ECD91B78E70}"/>
    <cellStyle name="Normal 2 2" xfId="7" xr:uid="{62361C14-FB87-4845-A063-60F7D3D5ECE9}"/>
    <cellStyle name="Normal 2 2 2" xfId="8" xr:uid="{D26F9F96-C6C5-4F52-936E-06121B0BA787}"/>
    <cellStyle name="Normal 2 3" xfId="9" xr:uid="{00DC79B7-DF20-4928-B26A-FC5A6654A21C}"/>
    <cellStyle name="Normal 4" xfId="5" xr:uid="{88E0409E-B40F-4B5A-8060-BE1BB830106C}"/>
    <cellStyle name="Normal 5" xfId="6" xr:uid="{731C4686-8C6E-4D4F-9FE4-774AE87BDA57}"/>
    <cellStyle name="Normal 9" xfId="12" xr:uid="{39130BC1-16E1-4F8E-8675-B1B8A52E3D17}"/>
    <cellStyle name="ปกติ 2" xfId="10" xr:uid="{B6172109-EAC3-4492-ABFA-9AC8AA27B119}"/>
  </cellStyles>
  <dxfs count="63"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color indexed="10"/>
      </font>
    </dxf>
    <dxf>
      <font>
        <b/>
        <i val="0"/>
        <strike val="0"/>
        <u val="none"/>
        <color indexed="12"/>
      </font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color indexed="10"/>
      </font>
    </dxf>
    <dxf>
      <font>
        <b/>
        <i val="0"/>
        <strike val="0"/>
        <u val="none"/>
        <color indexed="12"/>
      </font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color indexed="10"/>
      </font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color indexed="10"/>
      </font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color indexed="10"/>
      </font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color indexed="10"/>
      </font>
    </dxf>
    <dxf>
      <font>
        <b/>
        <i val="0"/>
        <strike val="0"/>
        <u val="none"/>
        <color indexed="12"/>
      </font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color indexed="10"/>
      </font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color indexed="10"/>
      </font>
    </dxf>
    <dxf>
      <font>
        <b/>
        <i val="0"/>
        <strike val="0"/>
        <u val="none"/>
        <color indexed="12"/>
      </font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</dxf>
    <dxf>
      <font>
        <b/>
        <i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u val="none"/>
        <color indexed="12"/>
      </font>
    </dxf>
    <dxf>
      <font>
        <b/>
        <i val="0"/>
        <color indexed="10"/>
      </font>
    </dxf>
    <dxf>
      <font>
        <b/>
        <i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0</xdr:row>
      <xdr:rowOff>54769</xdr:rowOff>
    </xdr:from>
    <xdr:to>
      <xdr:col>2</xdr:col>
      <xdr:colOff>135731</xdr:colOff>
      <xdr:row>0</xdr:row>
      <xdr:rowOff>330994</xdr:rowOff>
    </xdr:to>
    <xdr:pic>
      <xdr:nvPicPr>
        <xdr:cNvPr id="2" name="Graphics 1">
          <a:extLst>
            <a:ext uri="{FF2B5EF4-FFF2-40B4-BE49-F238E27FC236}">
              <a16:creationId xmlns:a16="http://schemas.microsoft.com/office/drawing/2014/main" id="{CDACB235-ACF1-42E7-9FFB-D52AA0479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1" y="54769"/>
          <a:ext cx="13716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63</xdr:row>
          <xdr:rowOff>0</xdr:rowOff>
        </xdr:from>
        <xdr:ext cx="1562100" cy="511969"/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9C4E0B4C-A7E9-4565-B661-D4BEEB2EF6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107</xdr:row>
          <xdr:rowOff>0</xdr:rowOff>
        </xdr:from>
        <xdr:ext cx="1581150" cy="511969"/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9A86DFB6-3409-465C-AA3A-3656BE5D6F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one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35718</xdr:colOff>
      <xdr:row>0</xdr:row>
      <xdr:rowOff>35718</xdr:rowOff>
    </xdr:from>
    <xdr:to>
      <xdr:col>2</xdr:col>
      <xdr:colOff>130968</xdr:colOff>
      <xdr:row>0</xdr:row>
      <xdr:rowOff>311943</xdr:rowOff>
    </xdr:to>
    <xdr:pic>
      <xdr:nvPicPr>
        <xdr:cNvPr id="2" name="Graphics 2">
          <a:extLst>
            <a:ext uri="{FF2B5EF4-FFF2-40B4-BE49-F238E27FC236}">
              <a16:creationId xmlns:a16="http://schemas.microsoft.com/office/drawing/2014/main" id="{8DD282C7-2EDE-462A-B980-AA36619EE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718" y="35718"/>
          <a:ext cx="1466850" cy="27622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4470-A7A0-47C1-8487-D3FAAEC687DA}">
  <sheetPr>
    <tabColor rgb="FF00B050"/>
  </sheetPr>
  <dimension ref="A1:BL53"/>
  <sheetViews>
    <sheetView zoomScale="90" zoomScaleNormal="90" workbookViewId="0">
      <selection activeCell="D4" sqref="D4"/>
    </sheetView>
  </sheetViews>
  <sheetFormatPr defaultColWidth="9" defaultRowHeight="24.75" customHeight="1" x14ac:dyDescent="0.5"/>
  <cols>
    <col min="1" max="3" width="13.375" style="83" customWidth="1"/>
    <col min="4" max="4" width="40.125" style="83" customWidth="1"/>
    <col min="5" max="8" width="13.375" style="83" customWidth="1"/>
    <col min="9" max="9" width="8.125" style="83" customWidth="1"/>
    <col min="10" max="10" width="9.375" style="83" customWidth="1"/>
    <col min="11" max="11" width="7.25" style="83" bestFit="1" customWidth="1"/>
    <col min="12" max="12" width="10.625" style="83" bestFit="1" customWidth="1"/>
    <col min="13" max="14" width="15.75" style="83" customWidth="1"/>
    <col min="15" max="16384" width="9" style="83"/>
  </cols>
  <sheetData>
    <row r="1" spans="1:64" ht="8.25" customHeight="1" x14ac:dyDescent="0.5"/>
    <row r="2" spans="1:64" ht="24.75" customHeight="1" x14ac:dyDescent="0.5">
      <c r="A2" s="212" t="s">
        <v>652</v>
      </c>
      <c r="B2" s="213"/>
      <c r="C2" s="213"/>
      <c r="D2" s="213"/>
      <c r="E2" s="213"/>
      <c r="F2" s="213"/>
      <c r="G2" s="214"/>
      <c r="H2" s="215" t="s">
        <v>1052</v>
      </c>
      <c r="I2" s="216">
        <v>10972</v>
      </c>
      <c r="J2" s="216"/>
      <c r="K2" s="217" t="s">
        <v>96</v>
      </c>
      <c r="L2" s="217"/>
      <c r="M2" s="216" t="s">
        <v>1053</v>
      </c>
      <c r="N2" s="216"/>
      <c r="O2" s="215">
        <v>7</v>
      </c>
      <c r="P2" s="216" t="s">
        <v>1054</v>
      </c>
      <c r="Q2" s="216"/>
      <c r="R2" s="216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</row>
    <row r="3" spans="1:64" ht="41.25" customHeight="1" x14ac:dyDescent="0.5">
      <c r="A3" s="84" t="s">
        <v>653</v>
      </c>
      <c r="B3" s="84" t="s">
        <v>654</v>
      </c>
      <c r="C3" s="84" t="s">
        <v>655</v>
      </c>
      <c r="D3" s="84" t="s">
        <v>656</v>
      </c>
      <c r="E3" s="84" t="s">
        <v>657</v>
      </c>
      <c r="F3" s="84" t="s">
        <v>658</v>
      </c>
      <c r="G3" s="84" t="s">
        <v>248</v>
      </c>
      <c r="H3" s="84" t="s">
        <v>966</v>
      </c>
      <c r="I3" s="84" t="s">
        <v>159</v>
      </c>
      <c r="J3" s="84" t="s">
        <v>967</v>
      </c>
      <c r="K3" s="84" t="s">
        <v>968</v>
      </c>
      <c r="L3" s="84" t="s">
        <v>969</v>
      </c>
      <c r="M3" s="84" t="s">
        <v>970</v>
      </c>
      <c r="N3" s="84" t="s">
        <v>971</v>
      </c>
      <c r="O3" s="84" t="s">
        <v>972</v>
      </c>
      <c r="P3" s="84" t="s">
        <v>973</v>
      </c>
      <c r="Q3" s="84" t="s">
        <v>974</v>
      </c>
      <c r="R3" s="84" t="s">
        <v>975</v>
      </c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</row>
    <row r="4" spans="1:64" ht="195.75" x14ac:dyDescent="0.5">
      <c r="A4" s="218" t="s">
        <v>1059</v>
      </c>
      <c r="B4" s="219">
        <v>244236</v>
      </c>
      <c r="C4" s="218" t="s">
        <v>1055</v>
      </c>
      <c r="D4" s="312" t="s">
        <v>1058</v>
      </c>
      <c r="E4" s="218" t="s">
        <v>600</v>
      </c>
      <c r="F4" s="218" t="s">
        <v>659</v>
      </c>
      <c r="G4" s="218" t="s">
        <v>976</v>
      </c>
      <c r="H4" s="218" t="s">
        <v>977</v>
      </c>
      <c r="I4" s="218">
        <v>10800</v>
      </c>
      <c r="J4" s="218">
        <v>0</v>
      </c>
      <c r="K4" s="218" t="s">
        <v>108</v>
      </c>
      <c r="L4" s="218" t="s">
        <v>108</v>
      </c>
      <c r="M4" s="218">
        <v>1</v>
      </c>
      <c r="N4" s="218">
        <v>90000</v>
      </c>
      <c r="O4" s="311" t="s">
        <v>1056</v>
      </c>
      <c r="P4" s="311" t="s">
        <v>1057</v>
      </c>
      <c r="Q4" s="218" t="s">
        <v>978</v>
      </c>
      <c r="R4" s="218" t="s">
        <v>979</v>
      </c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</row>
    <row r="5" spans="1:64" ht="21.75" x14ac:dyDescent="0.5">
      <c r="A5" s="218"/>
      <c r="B5" s="219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</row>
    <row r="6" spans="1:64" ht="21.75" x14ac:dyDescent="0.5">
      <c r="A6" s="218"/>
      <c r="B6" s="219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</row>
    <row r="7" spans="1:64" ht="21.75" x14ac:dyDescent="0.5">
      <c r="A7" s="218"/>
      <c r="B7" s="219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</row>
    <row r="8" spans="1:64" ht="21.75" x14ac:dyDescent="0.5">
      <c r="A8" s="218"/>
      <c r="B8" s="219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</row>
    <row r="9" spans="1:64" ht="21.75" x14ac:dyDescent="0.5">
      <c r="A9" s="218"/>
      <c r="B9" s="219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</row>
    <row r="10" spans="1:64" ht="21.75" x14ac:dyDescent="0.5">
      <c r="A10" s="218"/>
      <c r="B10" s="219"/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</row>
    <row r="11" spans="1:64" ht="24.75" customHeight="1" x14ac:dyDescent="0.5"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</row>
    <row r="12" spans="1:64" ht="24.75" customHeight="1" x14ac:dyDescent="0.5"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</row>
    <row r="13" spans="1:64" ht="24.75" customHeight="1" x14ac:dyDescent="0.5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</row>
    <row r="14" spans="1:64" ht="24.75" customHeight="1" x14ac:dyDescent="0.5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</row>
    <row r="15" spans="1:64" ht="24.75" customHeight="1" x14ac:dyDescent="0.5"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</row>
    <row r="16" spans="1:64" ht="24.75" customHeight="1" x14ac:dyDescent="0.5"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</row>
    <row r="17" spans="2:64" ht="24.75" customHeight="1" x14ac:dyDescent="0.5"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</row>
    <row r="18" spans="2:64" ht="24.75" customHeight="1" x14ac:dyDescent="0.5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</row>
    <row r="19" spans="2:64" ht="24.75" customHeight="1" x14ac:dyDescent="0.5"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</row>
    <row r="20" spans="2:64" ht="24.75" customHeight="1" x14ac:dyDescent="0.5"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</row>
    <row r="21" spans="2:64" ht="24.75" customHeight="1" x14ac:dyDescent="0.5"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</row>
    <row r="22" spans="2:64" ht="24.75" customHeight="1" x14ac:dyDescent="0.5"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</row>
    <row r="23" spans="2:64" ht="24.75" customHeight="1" x14ac:dyDescent="0.5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</row>
    <row r="24" spans="2:64" ht="24.75" customHeight="1" x14ac:dyDescent="0.5"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</row>
    <row r="25" spans="2:64" ht="24.75" customHeight="1" x14ac:dyDescent="0.5"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</row>
    <row r="26" spans="2:64" ht="24.75" customHeight="1" x14ac:dyDescent="0.5"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</row>
    <row r="27" spans="2:64" ht="24.75" customHeight="1" x14ac:dyDescent="0.5"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</row>
    <row r="28" spans="2:64" ht="24.75" customHeight="1" x14ac:dyDescent="0.5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</row>
    <row r="29" spans="2:64" ht="24.75" customHeight="1" x14ac:dyDescent="0.5"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</row>
    <row r="30" spans="2:64" ht="24.75" customHeight="1" x14ac:dyDescent="0.5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</row>
    <row r="31" spans="2:64" ht="24.75" customHeight="1" x14ac:dyDescent="0.5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</row>
    <row r="32" spans="2:64" ht="24.75" customHeight="1" x14ac:dyDescent="0.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</row>
    <row r="33" spans="2:64" ht="24.75" customHeight="1" x14ac:dyDescent="0.5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</row>
    <row r="34" spans="2:64" ht="24.75" customHeight="1" x14ac:dyDescent="0.5">
      <c r="B34" s="86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6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</row>
    <row r="35" spans="2:64" ht="24.75" customHeight="1" x14ac:dyDescent="0.5">
      <c r="B35" s="86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6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</row>
    <row r="36" spans="2:64" ht="24.75" customHeight="1" x14ac:dyDescent="0.5">
      <c r="B36" s="86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6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</row>
    <row r="37" spans="2:64" ht="24.75" customHeight="1" x14ac:dyDescent="0.5">
      <c r="B37" s="86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6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</row>
    <row r="38" spans="2:64" ht="24.75" customHeight="1" x14ac:dyDescent="0.5">
      <c r="B38" s="86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6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</row>
    <row r="39" spans="2:64" ht="24.75" customHeight="1" x14ac:dyDescent="0.5">
      <c r="B39" s="86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6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</row>
    <row r="40" spans="2:64" ht="24.75" customHeight="1" x14ac:dyDescent="0.5">
      <c r="B40" s="86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6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</row>
    <row r="41" spans="2:64" ht="24.75" customHeight="1" x14ac:dyDescent="0.5">
      <c r="B41" s="86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6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</row>
    <row r="42" spans="2:64" ht="24.75" customHeight="1" x14ac:dyDescent="0.5">
      <c r="B42" s="86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6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</row>
    <row r="43" spans="2:64" ht="24.75" customHeight="1" x14ac:dyDescent="0.5">
      <c r="B43" s="86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6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</row>
    <row r="44" spans="2:64" ht="24.75" customHeight="1" x14ac:dyDescent="0.5">
      <c r="B44" s="86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6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</row>
    <row r="45" spans="2:64" ht="24.75" customHeight="1" x14ac:dyDescent="0.5">
      <c r="B45" s="86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6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</row>
    <row r="46" spans="2:64" ht="24.75" customHeight="1" x14ac:dyDescent="0.5">
      <c r="B46" s="86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6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</row>
    <row r="47" spans="2:64" ht="24.75" customHeight="1" x14ac:dyDescent="0.5">
      <c r="B47" s="86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6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</row>
    <row r="48" spans="2:64" ht="24.75" customHeight="1" x14ac:dyDescent="0.5"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</row>
    <row r="49" spans="2:64" ht="24.75" customHeight="1" x14ac:dyDescent="0.5"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</row>
    <row r="50" spans="2:64" ht="24.75" customHeight="1" x14ac:dyDescent="0.5"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</row>
    <row r="51" spans="2:64" ht="24.75" customHeight="1" x14ac:dyDescent="0.5"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</row>
    <row r="52" spans="2:64" ht="24.75" customHeight="1" x14ac:dyDescent="0.5"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</row>
    <row r="53" spans="2:64" ht="24.75" customHeight="1" x14ac:dyDescent="0.5"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</row>
  </sheetData>
  <mergeCells count="4">
    <mergeCell ref="I2:J2"/>
    <mergeCell ref="K2:L2"/>
    <mergeCell ref="M2:N2"/>
    <mergeCell ref="P2:R2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4A8D-FF6B-45DF-AD20-F83824F30186}">
  <sheetPr>
    <tabColor rgb="FF00B050"/>
    <pageSetUpPr fitToPage="1"/>
  </sheetPr>
  <dimension ref="A1:L114"/>
  <sheetViews>
    <sheetView tabSelected="1" topLeftCell="A33" zoomScale="80" zoomScaleNormal="80" workbookViewId="0">
      <selection activeCell="E27" sqref="E27"/>
    </sheetView>
  </sheetViews>
  <sheetFormatPr defaultColWidth="9" defaultRowHeight="12.75" x14ac:dyDescent="0.2"/>
  <cols>
    <col min="1" max="1" width="8.875" style="74" customWidth="1"/>
    <col min="2" max="2" width="9.375" style="74" customWidth="1"/>
    <col min="3" max="3" width="5.375" style="74" customWidth="1"/>
    <col min="4" max="4" width="50.375" style="81" customWidth="1"/>
    <col min="5" max="5" width="18.125" style="74" customWidth="1"/>
    <col min="6" max="6" width="52.75" style="81" customWidth="1"/>
    <col min="7" max="7" width="52.75" style="74" customWidth="1"/>
    <col min="8" max="8" width="9.125" style="74" customWidth="1"/>
    <col min="9" max="9" width="8.875" style="74" customWidth="1"/>
    <col min="10" max="10" width="22.125" style="74" customWidth="1"/>
    <col min="11" max="11" width="11.75" style="74" customWidth="1"/>
    <col min="12" max="12" width="12.875" style="74" customWidth="1"/>
    <col min="13" max="16384" width="9" style="74"/>
  </cols>
  <sheetData>
    <row r="1" spans="1:12" s="30" customFormat="1" ht="33.75" customHeight="1" thickBot="1" x14ac:dyDescent="0.4">
      <c r="A1" s="88" t="s">
        <v>822</v>
      </c>
      <c r="B1" s="88"/>
      <c r="C1" s="88"/>
      <c r="D1" s="88"/>
      <c r="E1" s="88"/>
      <c r="F1" s="88"/>
      <c r="G1" s="88"/>
      <c r="H1" s="88"/>
      <c r="I1" s="88"/>
      <c r="J1" s="88"/>
    </row>
    <row r="2" spans="1:12" s="35" customFormat="1" ht="25.5" customHeight="1" thickBot="1" x14ac:dyDescent="0.5">
      <c r="A2" s="31" t="s">
        <v>566</v>
      </c>
      <c r="B2" s="31"/>
      <c r="C2" s="31"/>
      <c r="D2" s="31"/>
      <c r="E2" s="31"/>
      <c r="F2" s="31"/>
      <c r="G2" s="32" t="s">
        <v>567</v>
      </c>
      <c r="H2" s="32"/>
      <c r="I2" s="32"/>
      <c r="J2" s="32"/>
      <c r="K2" s="33" t="s">
        <v>568</v>
      </c>
      <c r="L2" s="34" t="s">
        <v>569</v>
      </c>
    </row>
    <row r="3" spans="1:12" s="35" customFormat="1" ht="40.5" customHeight="1" x14ac:dyDescent="0.5">
      <c r="A3" s="36" t="s">
        <v>570</v>
      </c>
      <c r="B3" s="36"/>
      <c r="C3" s="36"/>
      <c r="D3" s="89" t="str">
        <f>Option!A2</f>
        <v>CP ALL GROUP-2025/03746</v>
      </c>
      <c r="E3" s="89"/>
      <c r="F3" s="89"/>
      <c r="G3" s="37" t="s">
        <v>571</v>
      </c>
      <c r="H3" s="38"/>
      <c r="I3" s="38"/>
      <c r="J3" s="38"/>
      <c r="K3" s="39" t="s">
        <v>572</v>
      </c>
      <c r="L3" s="40">
        <f>COUNTIF(C17:C1000,"P1")</f>
        <v>75</v>
      </c>
    </row>
    <row r="4" spans="1:12" s="35" customFormat="1" ht="39" customHeight="1" x14ac:dyDescent="0.5">
      <c r="A4" s="43" t="s">
        <v>573</v>
      </c>
      <c r="B4" s="43"/>
      <c r="C4" s="43"/>
      <c r="D4" s="90" t="str">
        <f>"ทดสอบ Online Version "&amp;Option!C2</f>
        <v>ทดสอบ Online Version 25009A</v>
      </c>
      <c r="E4" s="90"/>
      <c r="F4" s="90"/>
      <c r="G4" s="52" t="s">
        <v>574</v>
      </c>
      <c r="H4" s="91"/>
      <c r="I4" s="91"/>
      <c r="J4" s="92"/>
      <c r="K4" s="41" t="s">
        <v>575</v>
      </c>
      <c r="L4" s="42">
        <f>COUNTIF(C17:C1000,"P2")</f>
        <v>0</v>
      </c>
    </row>
    <row r="5" spans="1:12" s="51" customFormat="1" ht="23.25" customHeight="1" thickBot="1" x14ac:dyDescent="0.55000000000000004">
      <c r="A5" s="43" t="s">
        <v>576</v>
      </c>
      <c r="B5" s="43"/>
      <c r="C5" s="43"/>
      <c r="D5" s="93" t="s">
        <v>577</v>
      </c>
      <c r="E5" s="94" t="s">
        <v>578</v>
      </c>
      <c r="F5" s="95"/>
      <c r="G5" s="46" t="s">
        <v>579</v>
      </c>
      <c r="H5" s="47" t="s">
        <v>580</v>
      </c>
      <c r="I5" s="47"/>
      <c r="J5" s="48" t="s">
        <v>581</v>
      </c>
      <c r="K5" s="49" t="s">
        <v>582</v>
      </c>
      <c r="L5" s="50">
        <f>COUNTIF(C17:C1000,"P3")</f>
        <v>0</v>
      </c>
    </row>
    <row r="6" spans="1:12" s="51" customFormat="1" ht="23.25" customHeight="1" x14ac:dyDescent="0.2">
      <c r="A6" s="43" t="s">
        <v>583</v>
      </c>
      <c r="B6" s="43"/>
      <c r="C6" s="43"/>
      <c r="D6" s="96" t="str">
        <f>"ONL_V"&amp;Option!C2</f>
        <v>ONL_V25009A</v>
      </c>
      <c r="E6" s="94" t="s">
        <v>584</v>
      </c>
      <c r="F6" s="96">
        <f>COUNTA('SR History'!A:A)-2</f>
        <v>1</v>
      </c>
      <c r="G6" s="52" t="s">
        <v>585</v>
      </c>
      <c r="H6" s="53" t="s">
        <v>586</v>
      </c>
      <c r="I6" s="53"/>
      <c r="J6" s="54"/>
    </row>
    <row r="7" spans="1:12" s="35" customFormat="1" ht="23.25" customHeight="1" x14ac:dyDescent="0.25">
      <c r="A7" s="55" t="s">
        <v>587</v>
      </c>
      <c r="B7" s="55"/>
      <c r="C7" s="55"/>
      <c r="D7" s="97" t="str">
        <f>"QCM-COU-Test Case&amp;Result_CS Online_"&amp;'SR History'!I2&amp;"_SV"&amp;'SR History'!O2&amp;"_"&amp;'SR History'!H2&amp;"-R1.xlsx"</f>
        <v>QCM-COU-Test Case&amp;Result_CS Online_10972_SV7_BBK-R1.xlsx</v>
      </c>
      <c r="E7" s="98"/>
      <c r="F7" s="98"/>
      <c r="G7" s="52" t="s">
        <v>588</v>
      </c>
      <c r="H7" s="57" t="s">
        <v>580</v>
      </c>
      <c r="I7" s="57"/>
      <c r="J7" s="54" t="s">
        <v>589</v>
      </c>
    </row>
    <row r="8" spans="1:12" s="35" customFormat="1" ht="31.5" customHeight="1" x14ac:dyDescent="0.25">
      <c r="A8" s="43" t="s">
        <v>590</v>
      </c>
      <c r="B8" s="43"/>
      <c r="C8" s="43"/>
      <c r="D8" s="58" t="s">
        <v>591</v>
      </c>
      <c r="E8" s="58"/>
      <c r="F8" s="58"/>
      <c r="G8" s="52" t="s">
        <v>585</v>
      </c>
      <c r="H8" s="53" t="s">
        <v>586</v>
      </c>
      <c r="I8" s="53"/>
      <c r="J8" s="54"/>
    </row>
    <row r="9" spans="1:12" s="35" customFormat="1" ht="52.7" customHeight="1" x14ac:dyDescent="0.25">
      <c r="A9" s="43" t="s">
        <v>592</v>
      </c>
      <c r="B9" s="43"/>
      <c r="C9" s="43"/>
      <c r="D9" s="99">
        <f>Option!B2</f>
        <v>244236</v>
      </c>
      <c r="E9" s="45" t="s">
        <v>593</v>
      </c>
      <c r="F9" s="59">
        <v>1</v>
      </c>
      <c r="G9" s="60" t="s">
        <v>594</v>
      </c>
      <c r="H9" s="57" t="s">
        <v>580</v>
      </c>
      <c r="I9" s="57"/>
      <c r="J9" s="61" t="s">
        <v>581</v>
      </c>
    </row>
    <row r="10" spans="1:12" s="35" customFormat="1" ht="92.25" customHeight="1" x14ac:dyDescent="0.25">
      <c r="A10" s="62" t="s">
        <v>595</v>
      </c>
      <c r="B10" s="62"/>
      <c r="C10" s="62"/>
      <c r="D10" s="58" t="s">
        <v>823</v>
      </c>
      <c r="E10" s="58"/>
      <c r="F10" s="58"/>
      <c r="G10" s="52" t="s">
        <v>585</v>
      </c>
      <c r="H10" s="53" t="s">
        <v>586</v>
      </c>
      <c r="I10" s="53"/>
      <c r="J10" s="54"/>
    </row>
    <row r="11" spans="1:12" s="35" customFormat="1" ht="27" customHeight="1" x14ac:dyDescent="0.25">
      <c r="A11" s="43" t="s">
        <v>596</v>
      </c>
      <c r="B11" s="43"/>
      <c r="C11" s="43"/>
      <c r="D11" s="100"/>
      <c r="E11" s="100"/>
      <c r="F11" s="100"/>
      <c r="G11" s="60" t="s">
        <v>824</v>
      </c>
      <c r="H11" s="63"/>
      <c r="I11" s="63"/>
      <c r="J11" s="63"/>
    </row>
    <row r="12" spans="1:12" s="51" customFormat="1" ht="43.5" customHeight="1" x14ac:dyDescent="0.2">
      <c r="A12" s="64" t="s">
        <v>597</v>
      </c>
      <c r="B12" s="64"/>
      <c r="C12" s="64"/>
      <c r="D12" s="56" t="str">
        <f>Option!D2</f>
        <v xml:space="preserve">New Client 10972_กรุงเทพมหานคร
 (Owner AE : Thanat-On N. / BA : Arreeya S. , Channel : POS, SAMEDAY, BACKEND) 
- Service 01-50 ชำระค่าขยะ
- ระบบ Full online
 - Memo : CS-BUD3 642/2568 
- มีผลวันที่ 28 สิงหาคม 2568
 - อ้างอิงเอกสาร =&gt; 10972_กรุงเทพมหานครV0.4.xlsx
</v>
      </c>
      <c r="E12" s="56"/>
      <c r="F12" s="56"/>
      <c r="G12" s="65" t="s">
        <v>598</v>
      </c>
      <c r="H12" s="66"/>
      <c r="I12" s="66"/>
      <c r="J12" s="66"/>
    </row>
    <row r="13" spans="1:12" s="35" customFormat="1" ht="41.85" customHeight="1" x14ac:dyDescent="0.25">
      <c r="A13" s="43" t="s">
        <v>599</v>
      </c>
      <c r="B13" s="43"/>
      <c r="C13" s="43"/>
      <c r="D13" s="56" t="str">
        <f>Option!E2</f>
        <v>2 MD</v>
      </c>
      <c r="E13" s="56"/>
      <c r="F13" s="56"/>
      <c r="G13" s="67" t="s">
        <v>601</v>
      </c>
      <c r="H13" s="68"/>
      <c r="I13" s="68"/>
      <c r="J13" s="69"/>
    </row>
    <row r="14" spans="1:12" s="35" customFormat="1" ht="23.25" customHeight="1" x14ac:dyDescent="0.25">
      <c r="A14" s="43" t="s">
        <v>602</v>
      </c>
      <c r="B14" s="43"/>
      <c r="C14" s="43"/>
      <c r="D14" s="70" t="str">
        <f>Option!F2</f>
        <v>Nakarin S.</v>
      </c>
      <c r="E14" s="44" t="s">
        <v>603</v>
      </c>
      <c r="F14" s="71" t="s">
        <v>825</v>
      </c>
      <c r="G14" s="72"/>
      <c r="H14" s="72"/>
      <c r="I14" s="72"/>
      <c r="J14" s="72"/>
    </row>
    <row r="15" spans="1:12" ht="9" customHeight="1" x14ac:dyDescent="0.2">
      <c r="A15" s="73"/>
      <c r="B15" s="73"/>
      <c r="C15" s="73"/>
      <c r="D15" s="73"/>
      <c r="E15" s="73"/>
      <c r="F15" s="73"/>
      <c r="G15" s="73"/>
      <c r="H15" s="73"/>
      <c r="I15" s="73"/>
      <c r="J15" s="73"/>
    </row>
    <row r="16" spans="1:12" s="75" customFormat="1" ht="45" customHeight="1" x14ac:dyDescent="0.5">
      <c r="A16" s="101" t="s">
        <v>826</v>
      </c>
      <c r="B16" s="102" t="str">
        <f>'SR History'!M2</f>
        <v>กรุงเทพมหานคร</v>
      </c>
      <c r="C16" s="102"/>
      <c r="D16" s="102"/>
      <c r="E16" s="103" t="str">
        <f>"Client ID : "&amp;'SR History'!I2</f>
        <v>Client ID : 10972</v>
      </c>
      <c r="F16" s="104" t="str">
        <f>"Tax ID :"&amp;'SR History'!K2</f>
        <v>Tax ID :0994000160151</v>
      </c>
      <c r="G16" s="105"/>
      <c r="H16" s="105"/>
      <c r="I16" s="105"/>
      <c r="J16" s="106"/>
    </row>
    <row r="17" spans="1:10" s="79" customFormat="1" ht="19.899999999999999" customHeight="1" x14ac:dyDescent="0.2">
      <c r="A17" s="107" t="str">
        <f>"Service "&amp;'SR History'!O2&amp;"  : "&amp;'SR History'!P2</f>
        <v>Service 7  : ค่าขยะ</v>
      </c>
      <c r="B17" s="108"/>
      <c r="C17" s="108"/>
      <c r="D17" s="108"/>
      <c r="E17" s="108"/>
      <c r="F17" s="108"/>
      <c r="G17" s="108"/>
      <c r="H17" s="108"/>
      <c r="I17" s="108"/>
      <c r="J17" s="109"/>
    </row>
    <row r="18" spans="1:10" s="75" customFormat="1" ht="19.899999999999999" customHeight="1" x14ac:dyDescent="0.5">
      <c r="A18" s="76" t="s">
        <v>604</v>
      </c>
      <c r="B18" s="77" t="s">
        <v>605</v>
      </c>
      <c r="C18" s="78" t="s">
        <v>606</v>
      </c>
      <c r="D18" s="76" t="s">
        <v>607</v>
      </c>
      <c r="E18" s="78" t="s">
        <v>608</v>
      </c>
      <c r="F18" s="76" t="s">
        <v>609</v>
      </c>
      <c r="G18" s="78" t="s">
        <v>610</v>
      </c>
      <c r="H18" s="78" t="s">
        <v>611</v>
      </c>
      <c r="I18" s="78" t="s">
        <v>827</v>
      </c>
      <c r="J18" s="78" t="s">
        <v>613</v>
      </c>
    </row>
    <row r="19" spans="1:10" s="120" customFormat="1" ht="81.75" customHeight="1" x14ac:dyDescent="0.5">
      <c r="A19" s="110">
        <f>IF((C19)="","",MAX($A$2:A18)+1)</f>
        <v>1</v>
      </c>
      <c r="B19" s="111">
        <f>IF((C19)="","",$D$9)</f>
        <v>244236</v>
      </c>
      <c r="C19" s="112" t="s">
        <v>614</v>
      </c>
      <c r="D19" s="113" t="s">
        <v>615</v>
      </c>
      <c r="E19" s="114"/>
      <c r="F19" s="115" t="s">
        <v>616</v>
      </c>
      <c r="G19" s="116" t="str">
        <f>"อ้างอิง ROW ที่ VENDOR_ID = Tax_ID ของผวจ.ดังกล่าว
SERVICE_ID = รหัส Service ของผวจ.ดังกล่าว
- ที่ Field OR_TIMEOUT = "&amp;Option!I2</f>
        <v>อ้างอิง ROW ที่ VENDOR_ID = Tax_ID ของผวจ.ดังกล่าว
SERVICE_ID = รหัส Service ของผวจ.ดังกล่าว
- ที่ Field OR_TIMEOUT = 10800</v>
      </c>
      <c r="H19" s="117" t="s">
        <v>617</v>
      </c>
      <c r="I19" s="118"/>
      <c r="J19" s="119"/>
    </row>
    <row r="20" spans="1:10" s="120" customFormat="1" ht="81.75" customHeight="1" x14ac:dyDescent="0.5">
      <c r="A20" s="110">
        <f>IF((C20)="","",MAX($A$2:A19)+1)</f>
        <v>2</v>
      </c>
      <c r="B20" s="111">
        <f t="shared" ref="B20:B85" si="0">IF((C20)="","",$D$9)</f>
        <v>244236</v>
      </c>
      <c r="C20" s="112" t="s">
        <v>614</v>
      </c>
      <c r="D20" s="113" t="s">
        <v>618</v>
      </c>
      <c r="E20" s="121"/>
      <c r="F20" s="115" t="s">
        <v>619</v>
      </c>
      <c r="G20" s="116" t="str">
        <f>"อ้างอิง ROW ที่ VENDOR_ID = Tax_ID ของผวจ.ดังกล่าว
SERVICE_ID = รหัส Service ของผวจ.ดังกล่าว
- ที่ Field MIN_AMT = "&amp;Option!M2</f>
        <v>อ้างอิง ROW ที่ VENDOR_ID = Tax_ID ของผวจ.ดังกล่าว
SERVICE_ID = รหัส Service ของผวจ.ดังกล่าว
- ที่ Field MIN_AMT = 1</v>
      </c>
      <c r="H20" s="117" t="s">
        <v>617</v>
      </c>
      <c r="I20" s="118"/>
      <c r="J20" s="122"/>
    </row>
    <row r="21" spans="1:10" s="123" customFormat="1" ht="81.75" customHeight="1" x14ac:dyDescent="0.5">
      <c r="A21" s="110">
        <f>IF((C21)="","",MAX($A$2:A20)+1)</f>
        <v>3</v>
      </c>
      <c r="B21" s="111">
        <f t="shared" si="0"/>
        <v>244236</v>
      </c>
      <c r="C21" s="112" t="s">
        <v>614</v>
      </c>
      <c r="D21" s="113" t="s">
        <v>618</v>
      </c>
      <c r="E21" s="121"/>
      <c r="F21" s="115" t="s">
        <v>620</v>
      </c>
      <c r="G21" s="116" t="str">
        <f>"อ้างอิง ROW ที่ VENDOR_ID = Tax_ID ของผวจ.ดังกล่าว
SERVICE_ID = รหัส Service ของผวจ.ดังกล่าว
- ที่ Field MAX_AMT = "&amp;Option!N2</f>
        <v>อ้างอิง ROW ที่ VENDOR_ID = Tax_ID ของผวจ.ดังกล่าว
SERVICE_ID = รหัส Service ของผวจ.ดังกล่าว
- ที่ Field MAX_AMT = 90000</v>
      </c>
      <c r="H21" s="117" t="s">
        <v>617</v>
      </c>
      <c r="I21" s="118"/>
      <c r="J21" s="122"/>
    </row>
    <row r="22" spans="1:10" s="123" customFormat="1" ht="239.25" x14ac:dyDescent="0.5">
      <c r="A22" s="110">
        <f>IF((C22)="","",MAX($A$2:A21)+1)</f>
        <v>4</v>
      </c>
      <c r="B22" s="111">
        <f t="shared" si="0"/>
        <v>244236</v>
      </c>
      <c r="C22" s="112" t="s">
        <v>614</v>
      </c>
      <c r="D22" s="113" t="s">
        <v>621</v>
      </c>
      <c r="E22" s="121"/>
      <c r="F22" s="115" t="s">
        <v>828</v>
      </c>
      <c r="G22" s="116" t="str">
        <f>"อ้างอิง ROW ที่ VENDOR_ID = Tax_ID ของผวจ.ดังกล่าว
SERVICE_ID=รหัส Service ของผวจ.ดังกล่าว
- ที่ Field 
SERVICE_CHARGE = "&amp;VLOOKUP(I22,Option!A11:B16,2,FALSE)</f>
        <v>อ้างอิง ROW ที่ VENDOR_ID = Tax_ID ของผวจ.ดังกล่าว
SERVICE_ID=รหัส Service ของผวจ.ดังกล่าว
- ที่ Field 
SERVICE_CHARGE = 2 หมายถึง กำหนดค่าบริการเป็นขั้นตาม WS_CLIENT_CHARGE_STEP</v>
      </c>
      <c r="H22" s="117" t="s">
        <v>617</v>
      </c>
      <c r="I22" s="124">
        <v>2</v>
      </c>
      <c r="J22" s="122"/>
    </row>
    <row r="23" spans="1:10" s="123" customFormat="1" ht="195.75" x14ac:dyDescent="0.5">
      <c r="A23" s="110">
        <f>IF((C23)="","",MAX($A$2:A22)+1)</f>
        <v>5</v>
      </c>
      <c r="B23" s="111">
        <f t="shared" si="0"/>
        <v>244236</v>
      </c>
      <c r="C23" s="112" t="s">
        <v>614</v>
      </c>
      <c r="D23" s="113" t="s">
        <v>622</v>
      </c>
      <c r="E23" s="121"/>
      <c r="F23" s="115" t="s">
        <v>623</v>
      </c>
      <c r="G23" s="116" t="str">
        <f>"อ้างอิง ROW ที่ VENDOR_ID = Tax_ID ของผวจ.ดังกล่าว
SERVICE_ID = รหัส Service ของผวจ.ดังกล่าว
- ที่ Field SYSTEM_TYPE = "&amp;I23</f>
        <v>อ้างอิง ROW ที่ VENDOR_ID = Tax_ID ของผวจ.ดังกล่าว
SERVICE_ID = รหัส Service ของผวจ.ดังกล่าว
- ที่ Field SYSTEM_TYPE = FF</v>
      </c>
      <c r="H23" s="117" t="s">
        <v>617</v>
      </c>
      <c r="I23" s="124" t="s">
        <v>102</v>
      </c>
      <c r="J23" s="122"/>
    </row>
    <row r="24" spans="1:10" s="123" customFormat="1" ht="108.75" x14ac:dyDescent="0.5">
      <c r="A24" s="110">
        <f>IF((C24)="","",MAX($A$2:A23)+1)</f>
        <v>6</v>
      </c>
      <c r="B24" s="111">
        <f t="shared" si="0"/>
        <v>244236</v>
      </c>
      <c r="C24" s="112" t="s">
        <v>614</v>
      </c>
      <c r="D24" s="125" t="s">
        <v>829</v>
      </c>
      <c r="E24" s="126"/>
      <c r="F24" s="113" t="s">
        <v>830</v>
      </c>
      <c r="G24" s="113" t="str">
        <f>"อ้างอิง ROW ที่ VENDOR_ID = Tax_ID ของผวจ.ดังกล่าว
SERVICE_ID = รหัส Service ของผวจ.ดังกล่าว
- ที่ Field PARTAIL_AMT = "&amp;I24</f>
        <v>อ้างอิง ROW ที่ VENDOR_ID = Tax_ID ของผวจ.ดังกล่าว
SERVICE_ID = รหัส Service ของผวจ.ดังกล่าว
- ที่ Field PARTAIL_AMT = N</v>
      </c>
      <c r="H24" s="117" t="s">
        <v>617</v>
      </c>
      <c r="I24" s="124" t="s">
        <v>108</v>
      </c>
      <c r="J24" s="122"/>
    </row>
    <row r="25" spans="1:10" s="123" customFormat="1" ht="108.75" x14ac:dyDescent="0.5">
      <c r="A25" s="110">
        <f>IF((C25)="","",MAX($A$2:A24)+1)</f>
        <v>7</v>
      </c>
      <c r="B25" s="111">
        <f t="shared" si="0"/>
        <v>244236</v>
      </c>
      <c r="C25" s="112" t="s">
        <v>614</v>
      </c>
      <c r="D25" s="127" t="s">
        <v>831</v>
      </c>
      <c r="E25" s="128"/>
      <c r="F25" s="113" t="s">
        <v>832</v>
      </c>
      <c r="G25" s="113" t="str">
        <f>"อ้างอิง ROW ที่ VENDOR_ID = Tax_ID ของผวจ.ดังกล่าว
SERVICE_ID = รหัส Service ของผวจ.ดังกล่าว
- ที่ Field CHK_AMT_BEFORE = "&amp;I25</f>
        <v>อ้างอิง ROW ที่ VENDOR_ID = Tax_ID ของผวจ.ดังกล่าว
SERVICE_ID = รหัส Service ของผวจ.ดังกล่าว
- ที่ Field CHK_AMT_BEFORE = Y</v>
      </c>
      <c r="H25" s="117" t="s">
        <v>617</v>
      </c>
      <c r="I25" s="129" t="s">
        <v>110</v>
      </c>
      <c r="J25" s="122"/>
    </row>
    <row r="26" spans="1:10" s="123" customFormat="1" ht="108.75" x14ac:dyDescent="0.5">
      <c r="A26" s="110">
        <f>IF((C26)="","",MAX($A$2:A25)+1)</f>
        <v>8</v>
      </c>
      <c r="B26" s="111">
        <f t="shared" si="0"/>
        <v>244236</v>
      </c>
      <c r="C26" s="112" t="s">
        <v>614</v>
      </c>
      <c r="D26" s="127" t="s">
        <v>833</v>
      </c>
      <c r="E26" s="128"/>
      <c r="F26" s="113" t="s">
        <v>834</v>
      </c>
      <c r="G26" s="113" t="str">
        <f>"อ้างอิง ROW ที่ VENDOR_ID = Tax_ID ของผวจ.ดังกล่าว
SERVICE_ID = รหัส Service ของผวจ.ดังกล่าว
- ที่ Field CHK_AMT_AFTER = "&amp;I26</f>
        <v>อ้างอิง ROW ที่ VENDOR_ID = Tax_ID ของผวจ.ดังกล่าว
SERVICE_ID = รหัส Service ของผวจ.ดังกล่าว
- ที่ Field CHK_AMT_AFTER = N</v>
      </c>
      <c r="H26" s="117" t="s">
        <v>617</v>
      </c>
      <c r="I26" s="129" t="s">
        <v>108</v>
      </c>
      <c r="J26" s="122"/>
    </row>
    <row r="27" spans="1:10" s="123" customFormat="1" ht="217.5" x14ac:dyDescent="0.5">
      <c r="A27" s="110">
        <f>IF((C27)="","",MAX($A$2:A26)+1)</f>
        <v>9</v>
      </c>
      <c r="B27" s="111">
        <f t="shared" si="0"/>
        <v>244236</v>
      </c>
      <c r="C27" s="112" t="s">
        <v>614</v>
      </c>
      <c r="D27" s="127" t="s">
        <v>835</v>
      </c>
      <c r="E27" s="128"/>
      <c r="F27" s="113" t="s">
        <v>836</v>
      </c>
      <c r="G27" s="113" t="str">
        <f>"อ้างอิง ROW ที่ VENDOR_ID = Tax_ID ของผวจ.ดังกล่าว
SERVICE_ID = รหัส Service ของผวจ.ดังกล่าว
- ที่ Field CHK_AMT_FNT = เช็คทศนิยม
"&amp;
IF(I27="N","N = รองรับทศนิยม ไม่ ลงตัว 0.00,0.01,...0.99",IF(I27="2","2 =  รองรับลงตัว 0.00 , 0.25, 0.50 , 0.75","1 = ไม่รองรับทศนิยม รับเฉพาะ 0.00 เท่านั้น"))</f>
        <v>อ้างอิง ROW ที่ VENDOR_ID = Tax_ID ของผวจ.ดังกล่าว
SERVICE_ID = รหัส Service ของผวจ.ดังกล่าว
- ที่ Field CHK_AMT_FNT = เช็คทศนิยม
1 = ไม่รองรับทศนิยม รับเฉพาะ 0.00 เท่านั้น</v>
      </c>
      <c r="H27" s="117" t="s">
        <v>617</v>
      </c>
      <c r="I27" s="129">
        <v>2</v>
      </c>
      <c r="J27" s="122"/>
    </row>
    <row r="28" spans="1:10" s="123" customFormat="1" ht="87" x14ac:dyDescent="0.5">
      <c r="A28" s="110">
        <f>IF((C28)="","",MAX($A$2:A27)+1)</f>
        <v>10</v>
      </c>
      <c r="B28" s="111">
        <f t="shared" si="0"/>
        <v>244236</v>
      </c>
      <c r="C28" s="112" t="s">
        <v>614</v>
      </c>
      <c r="D28" s="127" t="s">
        <v>837</v>
      </c>
      <c r="E28" s="128"/>
      <c r="F28" s="113" t="s">
        <v>838</v>
      </c>
      <c r="G28" s="116" t="str">
        <f>"อ้างอิง ROW ที่ VENDOR_ID = Tax_ID ของผวจ.ดังกล่าว
SERVICE_ID = รหัส Service ของผวจ.ดังกล่าว
- ที่ Field SERVICE_CHARGE_CENTRE = "&amp;Option!O2</f>
        <v>อ้างอิง ROW ที่ VENDOR_ID = Tax_ID ของผวจ.ดังกล่าว
SERVICE_ID = รหัส Service ของผวจ.ดังกล่าว
- ที่ Field SERVICE_CHARGE_CENTRE = 10,20</v>
      </c>
      <c r="H28" s="117" t="s">
        <v>617</v>
      </c>
      <c r="I28" s="130"/>
      <c r="J28" s="122"/>
    </row>
    <row r="29" spans="1:10" s="123" customFormat="1" ht="65.25" x14ac:dyDescent="0.5">
      <c r="A29" s="110">
        <f>IF((C29)="","",MAX($A$2:A28)+1)</f>
        <v>11</v>
      </c>
      <c r="B29" s="111">
        <f t="shared" si="0"/>
        <v>244236</v>
      </c>
      <c r="C29" s="112" t="s">
        <v>614</v>
      </c>
      <c r="D29" s="127" t="s">
        <v>837</v>
      </c>
      <c r="E29" s="128"/>
      <c r="F29" s="113" t="s">
        <v>839</v>
      </c>
      <c r="G29" s="116" t="str">
        <f>"อ้างอิง ROW ที่ VENDOR_ID = Tax_ID ของผวจ.ดังกล่าว
SERVICE_ID = รหัส Service ของผวจ.ดังกล่าว
- ที่ Field SERVICE_CHARGE_PROVINCESE = "&amp;Option!P2</f>
        <v>อ้างอิง ROW ที่ VENDOR_ID = Tax_ID ของผวจ.ดังกล่าว
SERVICE_ID = รหัส Service ของผวจ.ดังกล่าว
- ที่ Field SERVICE_CHARGE_PROVINCESE = 10,21</v>
      </c>
      <c r="H29" s="117" t="s">
        <v>617</v>
      </c>
      <c r="I29" s="130"/>
      <c r="J29" s="122"/>
    </row>
    <row r="30" spans="1:10" s="123" customFormat="1" ht="87" x14ac:dyDescent="0.5">
      <c r="A30" s="110">
        <f>IF((C30)="","",MAX($A$2:A27)+1)</f>
        <v>10</v>
      </c>
      <c r="B30" s="111">
        <f t="shared" si="0"/>
        <v>244236</v>
      </c>
      <c r="C30" s="112" t="s">
        <v>840</v>
      </c>
      <c r="D30" s="127" t="s">
        <v>841</v>
      </c>
      <c r="E30" s="128"/>
      <c r="F30" s="113" t="s">
        <v>842</v>
      </c>
      <c r="G30" s="131" t="s">
        <v>843</v>
      </c>
      <c r="H30" s="117" t="s">
        <v>617</v>
      </c>
      <c r="I30" s="130"/>
      <c r="J30" s="122"/>
    </row>
    <row r="31" spans="1:10" s="123" customFormat="1" ht="65.25" x14ac:dyDescent="0.5">
      <c r="A31" s="110">
        <f>IF((C31)="","",MAX($A$2:A28)+1)</f>
        <v>11</v>
      </c>
      <c r="B31" s="111">
        <f t="shared" si="0"/>
        <v>244236</v>
      </c>
      <c r="C31" s="112" t="s">
        <v>614</v>
      </c>
      <c r="D31" s="127" t="s">
        <v>841</v>
      </c>
      <c r="E31" s="128"/>
      <c r="F31" s="113" t="s">
        <v>844</v>
      </c>
      <c r="G31" s="131" t="s">
        <v>843</v>
      </c>
      <c r="H31" s="117" t="s">
        <v>617</v>
      </c>
      <c r="I31" s="130"/>
      <c r="J31" s="122"/>
    </row>
    <row r="32" spans="1:10" s="123" customFormat="1" ht="65.25" x14ac:dyDescent="0.5">
      <c r="A32" s="110">
        <f>IF((C32)="","",MAX($A$2:A31)+1)</f>
        <v>12</v>
      </c>
      <c r="B32" s="111">
        <f t="shared" si="0"/>
        <v>244236</v>
      </c>
      <c r="C32" s="112" t="s">
        <v>614</v>
      </c>
      <c r="D32" s="113" t="s">
        <v>845</v>
      </c>
      <c r="E32" s="132"/>
      <c r="F32" s="133" t="s">
        <v>846</v>
      </c>
      <c r="G32" s="133" t="str">
        <f>"มีการกำหนดค่า AutoFix ได้ถูกต้อง
- ที่ Field  SERVER_RUN = "&amp;I32</f>
        <v>มีการกำหนดค่า AutoFix ได้ถูกต้อง
- ที่ Field  SERVER_RUN = rac5Job2</v>
      </c>
      <c r="H32" s="117" t="s">
        <v>617</v>
      </c>
      <c r="I32" s="129" t="s">
        <v>847</v>
      </c>
      <c r="J32" s="122"/>
    </row>
    <row r="33" spans="1:10" s="123" customFormat="1" ht="43.5" x14ac:dyDescent="0.5">
      <c r="A33" s="110">
        <f>IF((C33)="","",MAX($A$2:A32)+1)</f>
        <v>13</v>
      </c>
      <c r="B33" s="111">
        <f t="shared" si="0"/>
        <v>244236</v>
      </c>
      <c r="C33" s="112" t="s">
        <v>614</v>
      </c>
      <c r="D33" s="134" t="s">
        <v>624</v>
      </c>
      <c r="E33" s="135"/>
      <c r="F33" s="131" t="s">
        <v>848</v>
      </c>
      <c r="G33" s="131" t="str">
        <f>I33&amp;"การกำหนดค่า Error Code และใช้ Error Code standard"</f>
        <v>ไม่มีการกำหนดค่า Error Code และใช้ Error Code standard</v>
      </c>
      <c r="H33" s="117" t="s">
        <v>617</v>
      </c>
      <c r="I33" s="124" t="s">
        <v>849</v>
      </c>
      <c r="J33" s="122"/>
    </row>
    <row r="34" spans="1:10" s="123" customFormat="1" ht="43.5" x14ac:dyDescent="0.5">
      <c r="A34" s="110">
        <f>IF((C34)="","",MAX($A$2:A33)+1)</f>
        <v>14</v>
      </c>
      <c r="B34" s="111">
        <f t="shared" si="0"/>
        <v>244236</v>
      </c>
      <c r="C34" s="112" t="s">
        <v>614</v>
      </c>
      <c r="D34" s="134" t="s">
        <v>625</v>
      </c>
      <c r="E34" s="135"/>
      <c r="F34" s="113" t="s">
        <v>850</v>
      </c>
      <c r="G34" s="113" t="str">
        <f>I34&amp;"การกำหนดค่าที่ DB ONLSTD TBL WS_CLIENT_REPRINT"</f>
        <v>ไม่มีการกำหนดค่าที่ DB ONLSTD TBL WS_CLIENT_REPRINT</v>
      </c>
      <c r="H34" s="117" t="s">
        <v>617</v>
      </c>
      <c r="I34" s="124" t="s">
        <v>849</v>
      </c>
      <c r="J34" s="122"/>
    </row>
    <row r="35" spans="1:10" s="123" customFormat="1" ht="43.5" x14ac:dyDescent="0.5">
      <c r="A35" s="110">
        <f>IF((C35)="","",MAX($A$2:A34)+1)</f>
        <v>15</v>
      </c>
      <c r="B35" s="111">
        <f t="shared" si="0"/>
        <v>244236</v>
      </c>
      <c r="C35" s="112" t="s">
        <v>614</v>
      </c>
      <c r="D35" s="134" t="s">
        <v>626</v>
      </c>
      <c r="E35" s="135"/>
      <c r="F35" s="131" t="s">
        <v>851</v>
      </c>
      <c r="G35" s="131" t="str">
        <f>I35&amp;"การกำหนดค่าที่ DB ONLSTD TBL = WS_STD_SERVICE_LOOKUP"</f>
        <v>ไม่มีการกำหนดค่าที่ DB ONLSTD TBL = WS_STD_SERVICE_LOOKUP</v>
      </c>
      <c r="H35" s="117" t="s">
        <v>617</v>
      </c>
      <c r="I35" s="124" t="s">
        <v>849</v>
      </c>
      <c r="J35" s="122"/>
    </row>
    <row r="36" spans="1:10" s="123" customFormat="1" ht="43.5" x14ac:dyDescent="0.5">
      <c r="A36" s="110">
        <f>IF((C36)="","",MAX($A$2:A35)+1)</f>
        <v>16</v>
      </c>
      <c r="B36" s="111">
        <f t="shared" si="0"/>
        <v>244236</v>
      </c>
      <c r="C36" s="112" t="s">
        <v>614</v>
      </c>
      <c r="D36" s="134" t="s">
        <v>628</v>
      </c>
      <c r="E36" s="135"/>
      <c r="F36" s="115" t="s">
        <v>852</v>
      </c>
      <c r="G36" s="115" t="str">
        <f>I36&amp;"การกำหนดค่าที่ DB ONLSTD TBL WS_CLIENT_RETURN"</f>
        <v>ไม่มีการกำหนดค่าที่ DB ONLSTD TBL WS_CLIENT_RETURN</v>
      </c>
      <c r="H36" s="117" t="s">
        <v>617</v>
      </c>
      <c r="I36" s="124" t="s">
        <v>849</v>
      </c>
      <c r="J36" s="122"/>
    </row>
    <row r="37" spans="1:10" s="123" customFormat="1" ht="43.5" x14ac:dyDescent="0.5">
      <c r="A37" s="110">
        <f>IF((C37)="","",MAX($A$2:A36)+1)</f>
        <v>17</v>
      </c>
      <c r="B37" s="111">
        <f t="shared" si="0"/>
        <v>244236</v>
      </c>
      <c r="C37" s="112" t="s">
        <v>614</v>
      </c>
      <c r="D37" s="134" t="s">
        <v>853</v>
      </c>
      <c r="E37" s="135"/>
      <c r="F37" s="115" t="s">
        <v>854</v>
      </c>
      <c r="G37" s="115" t="str">
        <f>I37&amp;"ไม่มีการกำหนดค่าที่ DB ONLSTD TBL  WS_CLIENT_RETURN_LEN_EXTEN"</f>
        <v>ไม่มีไม่มีการกำหนดค่าที่ DB ONLSTD TBL  WS_CLIENT_RETURN_LEN_EXTEN</v>
      </c>
      <c r="H37" s="117" t="s">
        <v>617</v>
      </c>
      <c r="I37" s="124" t="s">
        <v>849</v>
      </c>
      <c r="J37" s="122"/>
    </row>
    <row r="38" spans="1:10" s="123" customFormat="1" ht="19.899999999999999" customHeight="1" x14ac:dyDescent="0.5">
      <c r="A38" s="110">
        <f>IF((C38)="","",MAX($A$2:A37)+1)</f>
        <v>18</v>
      </c>
      <c r="B38" s="111">
        <f t="shared" si="0"/>
        <v>244236</v>
      </c>
      <c r="C38" s="112" t="s">
        <v>614</v>
      </c>
      <c r="D38" s="134" t="s">
        <v>627</v>
      </c>
      <c r="E38" s="135"/>
      <c r="F38" s="115" t="s">
        <v>855</v>
      </c>
      <c r="G38" s="115" t="str">
        <f>I38&amp;"การกำหนดค่าที่ DB ONLSTD TBL WS_CLIENT_REF"</f>
        <v>ไม่มีการกำหนดค่าที่ DB ONLSTD TBL WS_CLIENT_REF</v>
      </c>
      <c r="H38" s="117" t="s">
        <v>617</v>
      </c>
      <c r="I38" s="124" t="s">
        <v>849</v>
      </c>
      <c r="J38" s="122"/>
    </row>
    <row r="39" spans="1:10" s="123" customFormat="1" ht="43.5" x14ac:dyDescent="0.5">
      <c r="A39" s="110">
        <f>IF((C39)="","",MAX($A$2:A38)+1)</f>
        <v>19</v>
      </c>
      <c r="B39" s="111">
        <f t="shared" si="0"/>
        <v>244236</v>
      </c>
      <c r="C39" s="112" t="s">
        <v>614</v>
      </c>
      <c r="D39" s="134" t="s">
        <v>629</v>
      </c>
      <c r="E39" s="135"/>
      <c r="F39" s="116" t="s">
        <v>856</v>
      </c>
      <c r="G39" s="116" t="str">
        <f>I39&amp;"การกำหนดค่าที่ DB ONLSTD TBL WS_CLIENT_LEN_EXTEN"</f>
        <v>ไม่มีการกำหนดค่าที่ DB ONLSTD TBL WS_CLIENT_LEN_EXTEN</v>
      </c>
      <c r="H39" s="117" t="s">
        <v>617</v>
      </c>
      <c r="I39" s="124" t="s">
        <v>849</v>
      </c>
      <c r="J39" s="122"/>
    </row>
    <row r="40" spans="1:10" s="123" customFormat="1" ht="43.5" x14ac:dyDescent="0.5">
      <c r="A40" s="110">
        <f>IF((C40)="","",MAX($A$2:A39)+1)</f>
        <v>20</v>
      </c>
      <c r="B40" s="111">
        <f t="shared" si="0"/>
        <v>244236</v>
      </c>
      <c r="C40" s="112" t="s">
        <v>614</v>
      </c>
      <c r="D40" s="134" t="s">
        <v>630</v>
      </c>
      <c r="E40" s="135"/>
      <c r="F40" s="113" t="s">
        <v>857</v>
      </c>
      <c r="G40" s="113" t="str">
        <f>I40&amp;"การกำหนดค่าที่ DB ONLSTD TBL WS_CLIENT_PREFIX "</f>
        <v xml:space="preserve">มีการกำหนดค่าที่ DB ONLSTD TBL WS_CLIENT_PREFIX </v>
      </c>
      <c r="H40" s="117" t="s">
        <v>617</v>
      </c>
      <c r="I40" s="124" t="s">
        <v>858</v>
      </c>
      <c r="J40" s="122"/>
    </row>
    <row r="41" spans="1:10" s="123" customFormat="1" ht="87" x14ac:dyDescent="0.5">
      <c r="A41" s="110">
        <f>IF((C41)="","",MAX($A$2:A40)+1)</f>
        <v>21</v>
      </c>
      <c r="B41" s="111">
        <f t="shared" si="0"/>
        <v>244236</v>
      </c>
      <c r="C41" s="112" t="s">
        <v>614</v>
      </c>
      <c r="D41" s="134" t="s">
        <v>859</v>
      </c>
      <c r="E41" s="135"/>
      <c r="F41" s="113" t="s">
        <v>860</v>
      </c>
      <c r="G41" s="113" t="s">
        <v>860</v>
      </c>
      <c r="H41" s="117" t="s">
        <v>617</v>
      </c>
      <c r="I41" s="118"/>
      <c r="J41" s="136"/>
    </row>
    <row r="42" spans="1:10" s="123" customFormat="1" ht="19.899999999999999" customHeight="1" x14ac:dyDescent="0.5">
      <c r="A42" s="110">
        <f>IF((C42)="","",MAX($A$2:A41)+1)</f>
        <v>22</v>
      </c>
      <c r="B42" s="111">
        <f t="shared" si="0"/>
        <v>244236</v>
      </c>
      <c r="C42" s="112" t="s">
        <v>614</v>
      </c>
      <c r="D42" s="137" t="s">
        <v>631</v>
      </c>
      <c r="E42" s="138"/>
      <c r="F42" s="134" t="s">
        <v>861</v>
      </c>
      <c r="G42" s="134" t="s">
        <v>861</v>
      </c>
      <c r="H42" s="117" t="s">
        <v>617</v>
      </c>
      <c r="I42" s="139"/>
      <c r="J42" s="140"/>
    </row>
    <row r="43" spans="1:10" s="123" customFormat="1" ht="108.75" x14ac:dyDescent="0.2">
      <c r="A43" s="110">
        <f>IF((C43)="","",MAX($A$2:A42)+1)</f>
        <v>23</v>
      </c>
      <c r="B43" s="111">
        <f t="shared" si="0"/>
        <v>244236</v>
      </c>
      <c r="C43" s="112" t="s">
        <v>614</v>
      </c>
      <c r="D43" s="141" t="s">
        <v>862</v>
      </c>
      <c r="E43" s="141" t="s">
        <v>863</v>
      </c>
      <c r="F43" s="141" t="s">
        <v>632</v>
      </c>
      <c r="G43" s="141" t="s">
        <v>632</v>
      </c>
      <c r="H43" s="117" t="s">
        <v>617</v>
      </c>
      <c r="I43" s="141"/>
      <c r="J43" s="142"/>
    </row>
    <row r="44" spans="1:10" s="75" customFormat="1" ht="19.899999999999999" customHeight="1" x14ac:dyDescent="0.5">
      <c r="A44" s="110" t="str">
        <f>IF((C44)="","",MAX($A$2:A43)+1)</f>
        <v/>
      </c>
      <c r="B44" s="111" t="str">
        <f t="shared" si="0"/>
        <v/>
      </c>
      <c r="C44" s="143"/>
      <c r="D44" s="144" t="s">
        <v>864</v>
      </c>
      <c r="E44" s="145"/>
      <c r="F44" s="146"/>
      <c r="G44" s="147"/>
      <c r="H44" s="117"/>
      <c r="I44" s="148"/>
      <c r="J44" s="149"/>
    </row>
    <row r="45" spans="1:10" s="80" customFormat="1" ht="87" x14ac:dyDescent="0.2">
      <c r="A45" s="110">
        <f>IF((C45)="","",MAX($A$2:A44)+1)</f>
        <v>24</v>
      </c>
      <c r="B45" s="111">
        <f t="shared" si="0"/>
        <v>244236</v>
      </c>
      <c r="C45" s="112" t="s">
        <v>614</v>
      </c>
      <c r="D45" s="141" t="s">
        <v>865</v>
      </c>
      <c r="E45" s="150"/>
      <c r="F45" s="141" t="s">
        <v>866</v>
      </c>
      <c r="G45" s="151" t="s">
        <v>867</v>
      </c>
      <c r="H45" s="117" t="s">
        <v>617</v>
      </c>
      <c r="I45" s="150"/>
      <c r="J45" s="142"/>
    </row>
    <row r="46" spans="1:10" s="123" customFormat="1" ht="19.899999999999999" customHeight="1" x14ac:dyDescent="0.2">
      <c r="A46" s="110">
        <f>IF((C46)="","",MAX($A$2:A45)+1)</f>
        <v>25</v>
      </c>
      <c r="B46" s="111">
        <f t="shared" si="0"/>
        <v>244236</v>
      </c>
      <c r="C46" s="112" t="s">
        <v>614</v>
      </c>
      <c r="D46" s="141" t="s">
        <v>868</v>
      </c>
      <c r="E46" s="150"/>
      <c r="F46" s="141" t="s">
        <v>866</v>
      </c>
      <c r="G46" s="152"/>
      <c r="H46" s="117" t="s">
        <v>617</v>
      </c>
      <c r="I46" s="150"/>
      <c r="J46" s="142"/>
    </row>
    <row r="47" spans="1:10" s="123" customFormat="1" ht="87" x14ac:dyDescent="0.2">
      <c r="A47" s="110">
        <f>IF((C47)="","",MAX($A$2:A46)+1)</f>
        <v>26</v>
      </c>
      <c r="B47" s="111">
        <f t="shared" si="0"/>
        <v>244236</v>
      </c>
      <c r="C47" s="112" t="s">
        <v>614</v>
      </c>
      <c r="D47" s="141" t="s">
        <v>869</v>
      </c>
      <c r="E47" s="150"/>
      <c r="F47" s="141" t="s">
        <v>866</v>
      </c>
      <c r="G47" s="152"/>
      <c r="H47" s="117" t="s">
        <v>617</v>
      </c>
      <c r="I47" s="150"/>
      <c r="J47" s="142"/>
    </row>
    <row r="48" spans="1:10" s="123" customFormat="1" ht="87" x14ac:dyDescent="0.2">
      <c r="A48" s="110">
        <f>IF((C48)="","",MAX($A$2:A47)+1)</f>
        <v>27</v>
      </c>
      <c r="B48" s="111">
        <f t="shared" si="0"/>
        <v>244236</v>
      </c>
      <c r="C48" s="112" t="s">
        <v>614</v>
      </c>
      <c r="D48" s="141" t="s">
        <v>870</v>
      </c>
      <c r="E48" s="150"/>
      <c r="F48" s="141" t="s">
        <v>866</v>
      </c>
      <c r="G48" s="153"/>
      <c r="H48" s="117" t="s">
        <v>617</v>
      </c>
      <c r="I48" s="150"/>
      <c r="J48" s="142"/>
    </row>
    <row r="49" spans="1:10" s="123" customFormat="1" ht="21.75" x14ac:dyDescent="0.45">
      <c r="A49" s="110" t="str">
        <f>IF((C49)="","",MAX($A$2:A48)+1)</f>
        <v/>
      </c>
      <c r="B49" s="111" t="str">
        <f t="shared" si="0"/>
        <v/>
      </c>
      <c r="C49" s="154"/>
      <c r="D49" s="155" t="s">
        <v>871</v>
      </c>
      <c r="E49" s="156"/>
      <c r="F49" s="146"/>
      <c r="G49" s="147"/>
      <c r="H49" s="117"/>
      <c r="I49" s="148"/>
      <c r="J49" s="149"/>
    </row>
    <row r="50" spans="1:10" s="123" customFormat="1" ht="19.899999999999999" customHeight="1" x14ac:dyDescent="0.2">
      <c r="A50" s="110">
        <f>IF((C50)="","",MAX($A$2:A49)+1)</f>
        <v>28</v>
      </c>
      <c r="B50" s="111">
        <f t="shared" si="0"/>
        <v>244236</v>
      </c>
      <c r="C50" s="112" t="s">
        <v>614</v>
      </c>
      <c r="D50" s="157" t="s">
        <v>872</v>
      </c>
      <c r="E50" s="127"/>
      <c r="F50" s="127" t="s">
        <v>643</v>
      </c>
      <c r="G50" s="150" t="s">
        <v>643</v>
      </c>
      <c r="H50" s="117" t="s">
        <v>617</v>
      </c>
      <c r="I50" s="158"/>
      <c r="J50" s="159" t="s">
        <v>873</v>
      </c>
    </row>
    <row r="51" spans="1:10" s="123" customFormat="1" ht="21.75" x14ac:dyDescent="0.5">
      <c r="A51" s="110" t="str">
        <f>IF((C51)="","",MAX($A$2:A50)+1)</f>
        <v/>
      </c>
      <c r="B51" s="111" t="str">
        <f t="shared" si="0"/>
        <v/>
      </c>
      <c r="C51" s="160"/>
      <c r="D51" s="161" t="s">
        <v>874</v>
      </c>
      <c r="E51" s="162"/>
      <c r="F51" s="163">
        <v>1</v>
      </c>
      <c r="G51" s="164"/>
      <c r="H51" s="117"/>
      <c r="I51" s="165"/>
      <c r="J51" s="166"/>
    </row>
    <row r="52" spans="1:10" s="123" customFormat="1" ht="87" x14ac:dyDescent="0.2">
      <c r="A52" s="110">
        <f>IF((C52)="","",MAX($A$2:A51)+1)</f>
        <v>29</v>
      </c>
      <c r="B52" s="111">
        <f t="shared" si="0"/>
        <v>244236</v>
      </c>
      <c r="C52" s="112" t="s">
        <v>614</v>
      </c>
      <c r="D52" s="127" t="s">
        <v>875</v>
      </c>
      <c r="E52" s="127"/>
      <c r="F52" s="150" t="s">
        <v>876</v>
      </c>
      <c r="G52" s="150" t="s">
        <v>876</v>
      </c>
      <c r="H52" s="117" t="s">
        <v>617</v>
      </c>
      <c r="I52" s="167"/>
      <c r="J52" s="159" t="s">
        <v>873</v>
      </c>
    </row>
    <row r="53" spans="1:10" s="123" customFormat="1" ht="43.5" x14ac:dyDescent="0.2">
      <c r="A53" s="110">
        <f>IF((C53)="","",MAX($A$2:A52)+1)</f>
        <v>30</v>
      </c>
      <c r="B53" s="111">
        <f t="shared" si="0"/>
        <v>244236</v>
      </c>
      <c r="C53" s="112" t="s">
        <v>614</v>
      </c>
      <c r="D53" s="168" t="s">
        <v>877</v>
      </c>
      <c r="E53" s="150"/>
      <c r="F53" s="169" t="s">
        <v>878</v>
      </c>
      <c r="G53" s="169" t="s">
        <v>878</v>
      </c>
      <c r="H53" s="117" t="s">
        <v>617</v>
      </c>
      <c r="I53" s="167"/>
      <c r="J53" s="159" t="s">
        <v>873</v>
      </c>
    </row>
    <row r="54" spans="1:10" s="123" customFormat="1" ht="19.899999999999999" customHeight="1" x14ac:dyDescent="0.2">
      <c r="A54" s="110">
        <f>IF((C54)="","",MAX($A$2:A53)+1)</f>
        <v>31</v>
      </c>
      <c r="B54" s="111">
        <f t="shared" si="0"/>
        <v>244236</v>
      </c>
      <c r="C54" s="112" t="s">
        <v>614</v>
      </c>
      <c r="D54" s="168" t="s">
        <v>879</v>
      </c>
      <c r="E54" s="150" t="s">
        <v>633</v>
      </c>
      <c r="F54" s="169" t="s">
        <v>880</v>
      </c>
      <c r="G54" s="169" t="s">
        <v>880</v>
      </c>
      <c r="H54" s="117" t="s">
        <v>617</v>
      </c>
      <c r="I54" s="158"/>
      <c r="J54" s="159" t="s">
        <v>873</v>
      </c>
    </row>
    <row r="55" spans="1:10" s="123" customFormat="1" ht="21.75" x14ac:dyDescent="0.45">
      <c r="A55" s="110" t="str">
        <f>IF((C55)="","",MAX($A$2:A54)+1)</f>
        <v/>
      </c>
      <c r="B55" s="111" t="str">
        <f t="shared" si="0"/>
        <v/>
      </c>
      <c r="C55" s="143"/>
      <c r="D55" s="144" t="s">
        <v>634</v>
      </c>
      <c r="E55" s="145"/>
      <c r="F55" s="146"/>
      <c r="G55" s="147"/>
      <c r="H55" s="117"/>
      <c r="I55" s="148"/>
      <c r="J55" s="149"/>
    </row>
    <row r="56" spans="1:10" s="123" customFormat="1" ht="129.75" x14ac:dyDescent="0.2">
      <c r="A56" s="110">
        <f>IF((C56)="","",MAX($A$2:A55)+1)</f>
        <v>32</v>
      </c>
      <c r="B56" s="111">
        <f t="shared" si="0"/>
        <v>244236</v>
      </c>
      <c r="C56" s="112" t="s">
        <v>614</v>
      </c>
      <c r="D56" s="127" t="s">
        <v>881</v>
      </c>
      <c r="E56" s="127"/>
      <c r="F56" s="127" t="s">
        <v>635</v>
      </c>
      <c r="G56" s="150" t="s">
        <v>635</v>
      </c>
      <c r="H56" s="117" t="s">
        <v>617</v>
      </c>
      <c r="I56" s="158"/>
      <c r="J56" s="170" t="s">
        <v>882</v>
      </c>
    </row>
    <row r="57" spans="1:10" s="123" customFormat="1" ht="173.25" x14ac:dyDescent="0.2">
      <c r="A57" s="110">
        <f>IF((C57)="","",MAX($A$2:A56)+1)</f>
        <v>33</v>
      </c>
      <c r="B57" s="111">
        <f t="shared" si="0"/>
        <v>244236</v>
      </c>
      <c r="C57" s="112" t="s">
        <v>614</v>
      </c>
      <c r="D57" s="125" t="s">
        <v>883</v>
      </c>
      <c r="E57" s="150"/>
      <c r="F57" s="150" t="s">
        <v>884</v>
      </c>
      <c r="G57" s="150" t="s">
        <v>884</v>
      </c>
      <c r="H57" s="117" t="s">
        <v>617</v>
      </c>
      <c r="I57" s="167"/>
      <c r="J57" s="170" t="s">
        <v>882</v>
      </c>
    </row>
    <row r="58" spans="1:10" s="123" customFormat="1" ht="150.75" x14ac:dyDescent="0.2">
      <c r="A58" s="110">
        <f>IF((C58)="","",MAX($A$2:A57)+1)</f>
        <v>34</v>
      </c>
      <c r="B58" s="111">
        <f t="shared" si="0"/>
        <v>244236</v>
      </c>
      <c r="C58" s="112" t="s">
        <v>614</v>
      </c>
      <c r="D58" s="137" t="s">
        <v>885</v>
      </c>
      <c r="E58" s="150"/>
      <c r="F58" s="125" t="s">
        <v>886</v>
      </c>
      <c r="G58" s="141" t="s">
        <v>886</v>
      </c>
      <c r="H58" s="117" t="s">
        <v>617</v>
      </c>
      <c r="I58" s="171"/>
      <c r="J58" s="172"/>
    </row>
    <row r="59" spans="1:10" s="123" customFormat="1" ht="21.75" x14ac:dyDescent="0.2">
      <c r="A59" s="110">
        <f>IF((C59)="","",MAX($A$2:A58)+1)</f>
        <v>35</v>
      </c>
      <c r="B59" s="111">
        <f t="shared" si="0"/>
        <v>244236</v>
      </c>
      <c r="C59" s="112" t="s">
        <v>614</v>
      </c>
      <c r="D59" s="173" t="s">
        <v>887</v>
      </c>
      <c r="E59" s="150"/>
      <c r="F59" s="127" t="s">
        <v>888</v>
      </c>
      <c r="G59" s="127" t="s">
        <v>888</v>
      </c>
      <c r="H59" s="117" t="s">
        <v>617</v>
      </c>
      <c r="I59" s="174"/>
      <c r="J59" s="142"/>
    </row>
    <row r="60" spans="1:10" s="123" customFormat="1" ht="86.25" x14ac:dyDescent="0.2">
      <c r="A60" s="110">
        <f>IF((C60)="","",MAX($A$2:A59)+1)</f>
        <v>36</v>
      </c>
      <c r="B60" s="111">
        <f t="shared" si="0"/>
        <v>244236</v>
      </c>
      <c r="C60" s="112" t="s">
        <v>614</v>
      </c>
      <c r="D60" s="137" t="s">
        <v>889</v>
      </c>
      <c r="E60" s="150"/>
      <c r="F60" s="125" t="s">
        <v>890</v>
      </c>
      <c r="G60" s="125" t="s">
        <v>890</v>
      </c>
      <c r="H60" s="117" t="s">
        <v>617</v>
      </c>
      <c r="I60" s="171"/>
      <c r="J60" s="172"/>
    </row>
    <row r="61" spans="1:10" s="123" customFormat="1" ht="19.899999999999999" customHeight="1" x14ac:dyDescent="0.45">
      <c r="A61" s="110" t="str">
        <f>IF((C61)="","",MAX($A$2:A60)+1)</f>
        <v/>
      </c>
      <c r="B61" s="111" t="str">
        <f t="shared" si="0"/>
        <v/>
      </c>
      <c r="C61" s="143"/>
      <c r="D61" s="175" t="s">
        <v>636</v>
      </c>
      <c r="E61" s="145"/>
      <c r="F61" s="146"/>
      <c r="G61" s="147"/>
      <c r="H61" s="117"/>
      <c r="I61" s="148"/>
      <c r="J61" s="149"/>
    </row>
    <row r="62" spans="1:10" s="123" customFormat="1" ht="108" x14ac:dyDescent="0.2">
      <c r="A62" s="110">
        <f>IF((C62)="","",MAX($A$2:A61)+1)</f>
        <v>37</v>
      </c>
      <c r="B62" s="111">
        <f t="shared" si="0"/>
        <v>244236</v>
      </c>
      <c r="C62" s="112" t="s">
        <v>614</v>
      </c>
      <c r="D62" s="176" t="s">
        <v>891</v>
      </c>
      <c r="E62" s="127"/>
      <c r="F62" s="127" t="s">
        <v>892</v>
      </c>
      <c r="G62" s="150" t="s">
        <v>892</v>
      </c>
      <c r="H62" s="117" t="s">
        <v>617</v>
      </c>
      <c r="I62" s="177"/>
      <c r="J62" s="178" t="s">
        <v>893</v>
      </c>
    </row>
    <row r="63" spans="1:10" s="123" customFormat="1" ht="108" x14ac:dyDescent="0.2">
      <c r="A63" s="110">
        <f>IF((C63)="","",MAX($A$2:A62)+1)</f>
        <v>38</v>
      </c>
      <c r="B63" s="111">
        <f t="shared" si="0"/>
        <v>244236</v>
      </c>
      <c r="C63" s="112" t="s">
        <v>614</v>
      </c>
      <c r="D63" s="176" t="s">
        <v>894</v>
      </c>
      <c r="E63" s="127"/>
      <c r="F63" s="127" t="s">
        <v>892</v>
      </c>
      <c r="G63" s="150" t="s">
        <v>892</v>
      </c>
      <c r="H63" s="117" t="s">
        <v>617</v>
      </c>
      <c r="I63" s="177"/>
      <c r="J63" s="178" t="s">
        <v>893</v>
      </c>
    </row>
    <row r="64" spans="1:10" s="123" customFormat="1" ht="19.899999999999999" customHeight="1" x14ac:dyDescent="0.2">
      <c r="A64" s="110">
        <f>IF((C64)="","",MAX($A$2:A63)+1)</f>
        <v>39</v>
      </c>
      <c r="B64" s="111">
        <f t="shared" si="0"/>
        <v>244236</v>
      </c>
      <c r="C64" s="112" t="s">
        <v>614</v>
      </c>
      <c r="D64" s="176" t="s">
        <v>895</v>
      </c>
      <c r="E64" s="127" t="s">
        <v>637</v>
      </c>
      <c r="F64" s="127" t="s">
        <v>896</v>
      </c>
      <c r="G64" s="150" t="s">
        <v>896</v>
      </c>
      <c r="H64" s="117" t="s">
        <v>617</v>
      </c>
      <c r="I64" s="177"/>
      <c r="J64" s="178" t="s">
        <v>893</v>
      </c>
    </row>
    <row r="65" spans="1:10" s="123" customFormat="1" ht="108" x14ac:dyDescent="0.2">
      <c r="A65" s="110">
        <f>IF((C65)="","",MAX($A$2:A64)+1)</f>
        <v>40</v>
      </c>
      <c r="B65" s="111">
        <f t="shared" si="0"/>
        <v>244236</v>
      </c>
      <c r="C65" s="112" t="s">
        <v>614</v>
      </c>
      <c r="D65" s="176" t="s">
        <v>897</v>
      </c>
      <c r="E65" s="127"/>
      <c r="F65" s="127" t="s">
        <v>892</v>
      </c>
      <c r="G65" s="150" t="s">
        <v>892</v>
      </c>
      <c r="H65" s="117" t="s">
        <v>617</v>
      </c>
      <c r="I65" s="177"/>
      <c r="J65" s="178" t="s">
        <v>893</v>
      </c>
    </row>
    <row r="66" spans="1:10" s="123" customFormat="1" ht="21.75" x14ac:dyDescent="0.5">
      <c r="A66" s="110" t="str">
        <f>IF((C66)="","",MAX($A$2:A65)+1)</f>
        <v/>
      </c>
      <c r="B66" s="111" t="str">
        <f t="shared" si="0"/>
        <v/>
      </c>
      <c r="C66" s="179"/>
      <c r="D66" s="175" t="s">
        <v>638</v>
      </c>
      <c r="E66" s="175"/>
      <c r="F66" s="179"/>
      <c r="G66" s="164"/>
      <c r="H66" s="117"/>
      <c r="I66" s="165"/>
      <c r="J66" s="166"/>
    </row>
    <row r="67" spans="1:10" s="123" customFormat="1" ht="108.75" x14ac:dyDescent="0.2">
      <c r="A67" s="110">
        <f>IF((C67)="","",MAX($A$2:A66)+1)</f>
        <v>41</v>
      </c>
      <c r="B67" s="111">
        <f t="shared" si="0"/>
        <v>244236</v>
      </c>
      <c r="C67" s="112" t="s">
        <v>614</v>
      </c>
      <c r="D67" s="180" t="s">
        <v>898</v>
      </c>
      <c r="E67" s="150"/>
      <c r="F67" s="181" t="s">
        <v>639</v>
      </c>
      <c r="G67" s="180" t="s">
        <v>639</v>
      </c>
      <c r="H67" s="117" t="s">
        <v>617</v>
      </c>
      <c r="I67" s="158"/>
      <c r="J67" s="182" t="s">
        <v>899</v>
      </c>
    </row>
    <row r="68" spans="1:10" s="123" customFormat="1" ht="108.75" x14ac:dyDescent="0.2">
      <c r="A68" s="110">
        <f>IF((C68)="","",MAX($A$2:A67)+1)</f>
        <v>42</v>
      </c>
      <c r="B68" s="111">
        <f t="shared" si="0"/>
        <v>244236</v>
      </c>
      <c r="C68" s="112" t="s">
        <v>614</v>
      </c>
      <c r="D68" s="183" t="s">
        <v>900</v>
      </c>
      <c r="E68" s="150"/>
      <c r="F68" s="125" t="s">
        <v>901</v>
      </c>
      <c r="G68" s="141" t="s">
        <v>901</v>
      </c>
      <c r="H68" s="117" t="s">
        <v>617</v>
      </c>
      <c r="I68" s="184"/>
      <c r="J68" s="182" t="s">
        <v>899</v>
      </c>
    </row>
    <row r="69" spans="1:10" s="123" customFormat="1" ht="21.75" x14ac:dyDescent="0.5">
      <c r="A69" s="110" t="str">
        <f>IF((C69)="","",MAX($A$2:A68)+1)</f>
        <v/>
      </c>
      <c r="B69" s="111" t="str">
        <f t="shared" si="0"/>
        <v/>
      </c>
      <c r="C69" s="179"/>
      <c r="D69" s="175" t="s">
        <v>641</v>
      </c>
      <c r="E69" s="175"/>
      <c r="F69" s="179"/>
      <c r="G69" s="164"/>
      <c r="H69" s="117"/>
      <c r="I69" s="165"/>
      <c r="J69" s="166"/>
    </row>
    <row r="70" spans="1:10" s="123" customFormat="1" ht="108.75" x14ac:dyDescent="0.2">
      <c r="A70" s="110">
        <f>IF((C70)="","",MAX($A$2:A69)+1)</f>
        <v>43</v>
      </c>
      <c r="B70" s="111">
        <f t="shared" si="0"/>
        <v>244236</v>
      </c>
      <c r="C70" s="112" t="s">
        <v>614</v>
      </c>
      <c r="D70" s="125" t="s">
        <v>902</v>
      </c>
      <c r="E70" s="127"/>
      <c r="F70" s="125" t="s">
        <v>640</v>
      </c>
      <c r="G70" s="141" t="s">
        <v>640</v>
      </c>
      <c r="H70" s="117" t="s">
        <v>617</v>
      </c>
      <c r="I70" s="158"/>
      <c r="J70" s="178" t="s">
        <v>903</v>
      </c>
    </row>
    <row r="71" spans="1:10" s="123" customFormat="1" ht="108" x14ac:dyDescent="0.2">
      <c r="A71" s="110">
        <f>IF((C71)="","",MAX($A$2:A70)+1)</f>
        <v>44</v>
      </c>
      <c r="B71" s="111">
        <f t="shared" si="0"/>
        <v>244236</v>
      </c>
      <c r="C71" s="112" t="s">
        <v>614</v>
      </c>
      <c r="D71" s="185" t="s">
        <v>904</v>
      </c>
      <c r="E71" s="127"/>
      <c r="F71" s="181" t="s">
        <v>642</v>
      </c>
      <c r="G71" s="180" t="s">
        <v>642</v>
      </c>
      <c r="H71" s="117" t="s">
        <v>617</v>
      </c>
      <c r="I71" s="167"/>
      <c r="J71" s="178" t="s">
        <v>905</v>
      </c>
    </row>
    <row r="72" spans="1:10" s="123" customFormat="1" ht="108.75" x14ac:dyDescent="0.2">
      <c r="A72" s="110">
        <f>IF((C72)="","",MAX($A$2:A71)+1)</f>
        <v>45</v>
      </c>
      <c r="B72" s="111">
        <f t="shared" si="0"/>
        <v>244236</v>
      </c>
      <c r="C72" s="112" t="s">
        <v>614</v>
      </c>
      <c r="D72" s="125" t="s">
        <v>906</v>
      </c>
      <c r="E72" s="150"/>
      <c r="F72" s="125" t="s">
        <v>907</v>
      </c>
      <c r="G72" s="141" t="s">
        <v>907</v>
      </c>
      <c r="H72" s="117" t="s">
        <v>617</v>
      </c>
      <c r="I72" s="171"/>
      <c r="J72" s="178" t="s">
        <v>905</v>
      </c>
    </row>
    <row r="73" spans="1:10" s="123" customFormat="1" ht="19.899999999999999" customHeight="1" x14ac:dyDescent="0.2">
      <c r="A73" s="110">
        <f>IF((C73)="","",MAX($A$2:A72)+1)</f>
        <v>46</v>
      </c>
      <c r="B73" s="111">
        <f t="shared" si="0"/>
        <v>244236</v>
      </c>
      <c r="C73" s="112" t="s">
        <v>614</v>
      </c>
      <c r="D73" s="125" t="s">
        <v>908</v>
      </c>
      <c r="E73" s="150"/>
      <c r="F73" s="125" t="s">
        <v>909</v>
      </c>
      <c r="G73" s="141" t="s">
        <v>909</v>
      </c>
      <c r="H73" s="117" t="s">
        <v>617</v>
      </c>
      <c r="I73" s="171"/>
      <c r="J73" s="178" t="s">
        <v>905</v>
      </c>
    </row>
    <row r="74" spans="1:10" s="123" customFormat="1" ht="108.75" x14ac:dyDescent="0.2">
      <c r="A74" s="110">
        <f>IF((C74)="","",MAX($A$2:A73)+1)</f>
        <v>47</v>
      </c>
      <c r="B74" s="111">
        <f t="shared" si="0"/>
        <v>244236</v>
      </c>
      <c r="C74" s="112" t="s">
        <v>614</v>
      </c>
      <c r="D74" s="125" t="s">
        <v>910</v>
      </c>
      <c r="E74" s="127"/>
      <c r="F74" s="125" t="s">
        <v>911</v>
      </c>
      <c r="G74" s="141" t="s">
        <v>911</v>
      </c>
      <c r="H74" s="117" t="s">
        <v>617</v>
      </c>
      <c r="I74" s="167"/>
      <c r="J74" s="186"/>
    </row>
    <row r="75" spans="1:10" s="123" customFormat="1" ht="173.25" x14ac:dyDescent="0.2">
      <c r="A75" s="110">
        <f>IF((C75)="","",MAX($A$2:A74)+1)</f>
        <v>48</v>
      </c>
      <c r="B75" s="111">
        <f t="shared" si="0"/>
        <v>244236</v>
      </c>
      <c r="C75" s="112" t="s">
        <v>614</v>
      </c>
      <c r="D75" s="185" t="s">
        <v>912</v>
      </c>
      <c r="E75" s="150"/>
      <c r="F75" s="125" t="s">
        <v>644</v>
      </c>
      <c r="G75" s="141" t="s">
        <v>644</v>
      </c>
      <c r="H75" s="117" t="s">
        <v>617</v>
      </c>
      <c r="I75" s="127"/>
      <c r="J75" s="178" t="s">
        <v>913</v>
      </c>
    </row>
    <row r="76" spans="1:10" s="123" customFormat="1" ht="19.899999999999999" customHeight="1" x14ac:dyDescent="0.2">
      <c r="A76" s="110">
        <f>IF((C76)="","",MAX($A$2:A75)+1)</f>
        <v>49</v>
      </c>
      <c r="B76" s="111">
        <f t="shared" si="0"/>
        <v>244236</v>
      </c>
      <c r="C76" s="112" t="s">
        <v>614</v>
      </c>
      <c r="D76" s="185" t="s">
        <v>914</v>
      </c>
      <c r="E76" s="150"/>
      <c r="F76" s="125" t="s">
        <v>644</v>
      </c>
      <c r="G76" s="141" t="s">
        <v>644</v>
      </c>
      <c r="H76" s="117" t="s">
        <v>617</v>
      </c>
      <c r="I76" s="127"/>
      <c r="J76" s="178" t="s">
        <v>913</v>
      </c>
    </row>
    <row r="77" spans="1:10" s="123" customFormat="1" ht="19.899999999999999" customHeight="1" x14ac:dyDescent="0.2">
      <c r="A77" s="110">
        <f>IF((C77)="","",MAX($A$2:A76)+1)</f>
        <v>50</v>
      </c>
      <c r="B77" s="111">
        <f t="shared" si="0"/>
        <v>244236</v>
      </c>
      <c r="C77" s="112" t="s">
        <v>614</v>
      </c>
      <c r="D77" s="187" t="s">
        <v>915</v>
      </c>
      <c r="E77" s="127"/>
      <c r="F77" s="125" t="s">
        <v>645</v>
      </c>
      <c r="G77" s="141" t="s">
        <v>645</v>
      </c>
      <c r="H77" s="117" t="s">
        <v>617</v>
      </c>
      <c r="I77" s="181"/>
      <c r="J77" s="178" t="s">
        <v>913</v>
      </c>
    </row>
    <row r="78" spans="1:10" s="123" customFormat="1" ht="173.25" x14ac:dyDescent="0.2">
      <c r="A78" s="110">
        <f>IF((C78)="","",MAX($A$2:A77)+1)</f>
        <v>51</v>
      </c>
      <c r="B78" s="111">
        <f t="shared" si="0"/>
        <v>244236</v>
      </c>
      <c r="C78" s="112" t="s">
        <v>614</v>
      </c>
      <c r="D78" s="187" t="s">
        <v>916</v>
      </c>
      <c r="E78" s="127"/>
      <c r="F78" s="125" t="s">
        <v>645</v>
      </c>
      <c r="G78" s="141" t="s">
        <v>645</v>
      </c>
      <c r="H78" s="117" t="s">
        <v>617</v>
      </c>
      <c r="I78" s="181"/>
      <c r="J78" s="178" t="s">
        <v>913</v>
      </c>
    </row>
    <row r="79" spans="1:10" s="123" customFormat="1" ht="21.75" x14ac:dyDescent="0.5">
      <c r="A79" s="110" t="str">
        <f>IF((C79)="","",MAX($A$2:A78)+1)</f>
        <v/>
      </c>
      <c r="B79" s="111" t="str">
        <f t="shared" si="0"/>
        <v/>
      </c>
      <c r="C79" s="179"/>
      <c r="D79" s="175" t="s">
        <v>646</v>
      </c>
      <c r="E79" s="175"/>
      <c r="F79" s="179"/>
      <c r="G79" s="188"/>
      <c r="H79" s="117"/>
      <c r="I79" s="165"/>
      <c r="J79" s="166"/>
    </row>
    <row r="80" spans="1:10" s="123" customFormat="1" ht="19.899999999999999" customHeight="1" x14ac:dyDescent="0.2">
      <c r="A80" s="110">
        <f>IF((C80)="","",MAX($A$2:A79)+1)</f>
        <v>52</v>
      </c>
      <c r="B80" s="111">
        <f t="shared" si="0"/>
        <v>244236</v>
      </c>
      <c r="C80" s="112" t="s">
        <v>614</v>
      </c>
      <c r="D80" s="150" t="s">
        <v>647</v>
      </c>
      <c r="E80" s="150"/>
      <c r="F80" s="141" t="s">
        <v>648</v>
      </c>
      <c r="G80" s="141" t="s">
        <v>648</v>
      </c>
      <c r="H80" s="117" t="s">
        <v>617</v>
      </c>
      <c r="I80" s="158"/>
      <c r="J80" s="189" t="s">
        <v>917</v>
      </c>
    </row>
    <row r="81" spans="1:10" s="123" customFormat="1" ht="107.25" x14ac:dyDescent="0.2">
      <c r="A81" s="110">
        <f>IF((C81)="","",MAX($A$2:A80)+1)</f>
        <v>53</v>
      </c>
      <c r="B81" s="111">
        <f t="shared" si="0"/>
        <v>244236</v>
      </c>
      <c r="C81" s="112" t="s">
        <v>614</v>
      </c>
      <c r="D81" s="150" t="s">
        <v>649</v>
      </c>
      <c r="E81" s="150"/>
      <c r="F81" s="150" t="s">
        <v>640</v>
      </c>
      <c r="G81" s="150" t="s">
        <v>640</v>
      </c>
      <c r="H81" s="117" t="s">
        <v>617</v>
      </c>
      <c r="I81" s="150"/>
      <c r="J81" s="189" t="s">
        <v>917</v>
      </c>
    </row>
    <row r="82" spans="1:10" s="123" customFormat="1" ht="21.75" x14ac:dyDescent="0.45">
      <c r="A82" s="110" t="str">
        <f>IF((C82)="","",MAX($A$2:A81)+1)</f>
        <v/>
      </c>
      <c r="B82" s="111" t="str">
        <f t="shared" si="0"/>
        <v/>
      </c>
      <c r="C82" s="143"/>
      <c r="D82" s="175" t="s">
        <v>918</v>
      </c>
      <c r="E82" s="145"/>
      <c r="F82" s="146"/>
      <c r="G82" s="147"/>
      <c r="H82" s="117"/>
      <c r="I82" s="148"/>
      <c r="J82" s="149"/>
    </row>
    <row r="83" spans="1:10" s="123" customFormat="1" ht="21.75" x14ac:dyDescent="0.45">
      <c r="A83" s="110" t="str">
        <f>IF((C83)="","",MAX($A$2:A82)+1)</f>
        <v/>
      </c>
      <c r="B83" s="111" t="str">
        <f t="shared" si="0"/>
        <v/>
      </c>
      <c r="C83" s="143"/>
      <c r="D83" s="190" t="s">
        <v>919</v>
      </c>
      <c r="E83" s="179"/>
      <c r="F83" s="146"/>
      <c r="G83" s="147"/>
      <c r="H83" s="117"/>
      <c r="I83" s="148"/>
      <c r="J83" s="149"/>
    </row>
    <row r="84" spans="1:10" s="123" customFormat="1" ht="65.25" x14ac:dyDescent="0.2">
      <c r="A84" s="110">
        <f>IF((C84)="","",MAX($A$2:A83)+1)</f>
        <v>54</v>
      </c>
      <c r="B84" s="111">
        <f t="shared" si="0"/>
        <v>244236</v>
      </c>
      <c r="C84" s="112" t="s">
        <v>614</v>
      </c>
      <c r="D84" s="141" t="s">
        <v>920</v>
      </c>
      <c r="E84" s="141"/>
      <c r="F84" s="127" t="s">
        <v>921</v>
      </c>
      <c r="G84" s="127" t="s">
        <v>921</v>
      </c>
      <c r="H84" s="117" t="s">
        <v>617</v>
      </c>
      <c r="I84" s="191"/>
      <c r="J84" s="192" t="s">
        <v>922</v>
      </c>
    </row>
    <row r="85" spans="1:10" s="123" customFormat="1" ht="65.25" x14ac:dyDescent="0.2">
      <c r="A85" s="110">
        <f>IF((C85)="","",MAX($A$2:A84)+1)</f>
        <v>55</v>
      </c>
      <c r="B85" s="111">
        <f t="shared" si="0"/>
        <v>244236</v>
      </c>
      <c r="C85" s="112" t="s">
        <v>614</v>
      </c>
      <c r="D85" s="141" t="s">
        <v>923</v>
      </c>
      <c r="E85" s="193" t="s">
        <v>924</v>
      </c>
      <c r="F85" s="127" t="s">
        <v>921</v>
      </c>
      <c r="G85" s="127" t="s">
        <v>921</v>
      </c>
      <c r="H85" s="117" t="s">
        <v>617</v>
      </c>
      <c r="I85" s="191"/>
      <c r="J85" s="192" t="s">
        <v>922</v>
      </c>
    </row>
    <row r="86" spans="1:10" s="123" customFormat="1" ht="21.75" x14ac:dyDescent="0.45">
      <c r="A86" s="110" t="str">
        <f>IF((C86)="","",MAX($A$2:A85)+1)</f>
        <v/>
      </c>
      <c r="B86" s="111" t="str">
        <f t="shared" ref="B86:B114" si="1">IF((C86)="","",$D$9)</f>
        <v/>
      </c>
      <c r="C86" s="143"/>
      <c r="D86" s="190" t="s">
        <v>925</v>
      </c>
      <c r="E86" s="179"/>
      <c r="F86" s="146"/>
      <c r="G86" s="194"/>
      <c r="H86" s="117"/>
      <c r="I86" s="148"/>
      <c r="J86" s="149"/>
    </row>
    <row r="87" spans="1:10" s="123" customFormat="1" ht="65.25" x14ac:dyDescent="0.2">
      <c r="A87" s="110">
        <f>IF((C87)="","",MAX($A$2:A86)+1)</f>
        <v>56</v>
      </c>
      <c r="B87" s="111">
        <f t="shared" si="1"/>
        <v>244236</v>
      </c>
      <c r="C87" s="112" t="s">
        <v>614</v>
      </c>
      <c r="D87" s="141" t="s">
        <v>926</v>
      </c>
      <c r="E87" s="141"/>
      <c r="F87" s="127" t="s">
        <v>921</v>
      </c>
      <c r="G87" s="127" t="s">
        <v>921</v>
      </c>
      <c r="H87" s="117" t="s">
        <v>617</v>
      </c>
      <c r="I87" s="191"/>
      <c r="J87" s="192" t="s">
        <v>922</v>
      </c>
    </row>
    <row r="88" spans="1:10" s="123" customFormat="1" ht="65.25" x14ac:dyDescent="0.2">
      <c r="A88" s="110">
        <f>IF((C88)="","",MAX($A$2:A87)+1)</f>
        <v>57</v>
      </c>
      <c r="B88" s="111">
        <f t="shared" si="1"/>
        <v>244236</v>
      </c>
      <c r="C88" s="112" t="s">
        <v>614</v>
      </c>
      <c r="D88" s="141" t="s">
        <v>927</v>
      </c>
      <c r="E88" s="193"/>
      <c r="F88" s="127" t="s">
        <v>921</v>
      </c>
      <c r="G88" s="127" t="s">
        <v>921</v>
      </c>
      <c r="H88" s="117" t="s">
        <v>617</v>
      </c>
      <c r="I88" s="191"/>
      <c r="J88" s="192" t="s">
        <v>922</v>
      </c>
    </row>
    <row r="89" spans="1:10" s="123" customFormat="1" ht="21.75" x14ac:dyDescent="0.45">
      <c r="A89" s="110" t="str">
        <f>IF((C89)="","",MAX($A$2:A88)+1)</f>
        <v/>
      </c>
      <c r="B89" s="111" t="str">
        <f t="shared" si="1"/>
        <v/>
      </c>
      <c r="C89" s="143"/>
      <c r="D89" s="190" t="s">
        <v>928</v>
      </c>
      <c r="E89" s="179"/>
      <c r="F89" s="146"/>
      <c r="G89" s="194"/>
      <c r="H89" s="117"/>
      <c r="I89" s="148"/>
      <c r="J89" s="149"/>
    </row>
    <row r="90" spans="1:10" s="123" customFormat="1" ht="21.75" customHeight="1" x14ac:dyDescent="0.2">
      <c r="A90" s="110">
        <f>IF((C90)="","",MAX($A$2:A89)+1)</f>
        <v>58</v>
      </c>
      <c r="B90" s="111">
        <f t="shared" si="1"/>
        <v>244236</v>
      </c>
      <c r="C90" s="112" t="s">
        <v>614</v>
      </c>
      <c r="D90" s="141" t="s">
        <v>929</v>
      </c>
      <c r="E90" s="141"/>
      <c r="F90" s="127" t="s">
        <v>921</v>
      </c>
      <c r="G90" s="127" t="s">
        <v>921</v>
      </c>
      <c r="H90" s="117" t="s">
        <v>617</v>
      </c>
      <c r="I90" s="191"/>
      <c r="J90" s="192" t="s">
        <v>922</v>
      </c>
    </row>
    <row r="91" spans="1:10" s="123" customFormat="1" ht="65.25" x14ac:dyDescent="0.2">
      <c r="A91" s="110">
        <f>IF((C91)="","",MAX($A$2:A90)+1)</f>
        <v>59</v>
      </c>
      <c r="B91" s="111">
        <f t="shared" si="1"/>
        <v>244236</v>
      </c>
      <c r="C91" s="112" t="s">
        <v>614</v>
      </c>
      <c r="D91" s="141" t="s">
        <v>930</v>
      </c>
      <c r="E91" s="193"/>
      <c r="F91" s="127" t="s">
        <v>921</v>
      </c>
      <c r="G91" s="127" t="s">
        <v>921</v>
      </c>
      <c r="H91" s="117" t="s">
        <v>617</v>
      </c>
      <c r="I91" s="191"/>
      <c r="J91" s="192" t="s">
        <v>922</v>
      </c>
    </row>
    <row r="92" spans="1:10" s="123" customFormat="1" ht="21.75" x14ac:dyDescent="0.45">
      <c r="A92" s="110" t="str">
        <f>IF((C92)="","",MAX($A$2:A91)+1)</f>
        <v/>
      </c>
      <c r="B92" s="111" t="str">
        <f t="shared" si="1"/>
        <v/>
      </c>
      <c r="C92" s="143"/>
      <c r="D92" s="175" t="s">
        <v>931</v>
      </c>
      <c r="E92" s="145"/>
      <c r="F92" s="146"/>
      <c r="G92" s="147"/>
      <c r="H92" s="117"/>
      <c r="I92" s="148"/>
      <c r="J92" s="149"/>
    </row>
    <row r="93" spans="1:10" s="123" customFormat="1" ht="21.75" x14ac:dyDescent="0.45">
      <c r="A93" s="110" t="str">
        <f>IF((C93)="","",MAX($A$2:A92)+1)</f>
        <v/>
      </c>
      <c r="B93" s="111" t="str">
        <f t="shared" si="1"/>
        <v/>
      </c>
      <c r="C93" s="143"/>
      <c r="D93" s="190" t="s">
        <v>925</v>
      </c>
      <c r="E93" s="179"/>
      <c r="F93" s="146"/>
      <c r="G93" s="147"/>
      <c r="H93" s="117"/>
      <c r="I93" s="148"/>
      <c r="J93" s="149"/>
    </row>
    <row r="94" spans="1:10" s="123" customFormat="1" ht="87" x14ac:dyDescent="0.2">
      <c r="A94" s="110">
        <f>IF((C94)="","",MAX($A$2:A93)+1)</f>
        <v>60</v>
      </c>
      <c r="B94" s="111">
        <f t="shared" si="1"/>
        <v>244236</v>
      </c>
      <c r="C94" s="112" t="s">
        <v>614</v>
      </c>
      <c r="D94" s="141" t="s">
        <v>932</v>
      </c>
      <c r="E94" s="141"/>
      <c r="F94" s="127" t="s">
        <v>933</v>
      </c>
      <c r="G94" s="127" t="s">
        <v>933</v>
      </c>
      <c r="H94" s="117" t="s">
        <v>617</v>
      </c>
      <c r="I94" s="191"/>
      <c r="J94" s="195"/>
    </row>
    <row r="95" spans="1:10" s="123" customFormat="1" ht="65.25" x14ac:dyDescent="0.2">
      <c r="A95" s="110">
        <f>IF((C95)="","",MAX($A$2:A94)+1)</f>
        <v>61</v>
      </c>
      <c r="B95" s="111">
        <f t="shared" si="1"/>
        <v>244236</v>
      </c>
      <c r="C95" s="112" t="s">
        <v>614</v>
      </c>
      <c r="D95" s="141" t="s">
        <v>934</v>
      </c>
      <c r="E95" s="141"/>
      <c r="F95" s="127" t="s">
        <v>935</v>
      </c>
      <c r="G95" s="127" t="s">
        <v>935</v>
      </c>
      <c r="H95" s="117" t="s">
        <v>617</v>
      </c>
      <c r="I95" s="191"/>
      <c r="J95" s="195"/>
    </row>
    <row r="96" spans="1:10" s="123" customFormat="1" ht="21.75" x14ac:dyDescent="0.45">
      <c r="A96" s="110" t="str">
        <f>IF((C96)="","",MAX($A$2:A95)+1)</f>
        <v/>
      </c>
      <c r="B96" s="111" t="str">
        <f t="shared" si="1"/>
        <v/>
      </c>
      <c r="C96" s="143"/>
      <c r="D96" s="175" t="s">
        <v>936</v>
      </c>
      <c r="E96" s="145"/>
      <c r="F96" s="146"/>
      <c r="G96" s="194"/>
      <c r="H96" s="117"/>
      <c r="I96" s="148"/>
      <c r="J96" s="149"/>
    </row>
    <row r="97" spans="1:10" s="123" customFormat="1" ht="108.75" x14ac:dyDescent="0.2">
      <c r="A97" s="110">
        <f>IF((C97)="","",MAX($A$2:A96)+1)</f>
        <v>62</v>
      </c>
      <c r="B97" s="111">
        <f t="shared" si="1"/>
        <v>244236</v>
      </c>
      <c r="C97" s="112" t="s">
        <v>614</v>
      </c>
      <c r="D97" s="127" t="s">
        <v>937</v>
      </c>
      <c r="E97" s="196"/>
      <c r="F97" s="197" t="s">
        <v>938</v>
      </c>
      <c r="G97" s="198" t="s">
        <v>938</v>
      </c>
      <c r="H97" s="117" t="s">
        <v>617</v>
      </c>
      <c r="I97" s="174"/>
      <c r="J97" s="199" t="s">
        <v>939</v>
      </c>
    </row>
    <row r="98" spans="1:10" s="123" customFormat="1" ht="108.75" x14ac:dyDescent="0.2">
      <c r="A98" s="110">
        <f>IF((C98)="","",MAX($A$2:A97)+1)</f>
        <v>63</v>
      </c>
      <c r="B98" s="111">
        <f t="shared" si="1"/>
        <v>244236</v>
      </c>
      <c r="C98" s="112" t="s">
        <v>614</v>
      </c>
      <c r="D98" s="127" t="s">
        <v>940</v>
      </c>
      <c r="E98" s="196"/>
      <c r="F98" s="197" t="s">
        <v>941</v>
      </c>
      <c r="G98" s="198" t="s">
        <v>941</v>
      </c>
      <c r="H98" s="117" t="s">
        <v>617</v>
      </c>
      <c r="I98" s="174"/>
      <c r="J98" s="199" t="s">
        <v>939</v>
      </c>
    </row>
    <row r="99" spans="1:10" s="123" customFormat="1" ht="43.5" x14ac:dyDescent="0.2">
      <c r="A99" s="110">
        <f>IF((C99)="","",MAX($A$2:A98)+1)</f>
        <v>64</v>
      </c>
      <c r="B99" s="111">
        <f t="shared" si="1"/>
        <v>244236</v>
      </c>
      <c r="C99" s="112" t="s">
        <v>614</v>
      </c>
      <c r="D99" s="134" t="s">
        <v>942</v>
      </c>
      <c r="E99" s="134"/>
      <c r="F99" s="200" t="s">
        <v>943</v>
      </c>
      <c r="G99" s="200" t="s">
        <v>943</v>
      </c>
      <c r="H99" s="117" t="s">
        <v>617</v>
      </c>
      <c r="I99" s="134"/>
      <c r="J99" s="201"/>
    </row>
    <row r="100" spans="1:10" s="123" customFormat="1" ht="21.75" x14ac:dyDescent="0.45">
      <c r="A100" s="110" t="str">
        <f>IF((C100)="","",MAX($A$2:A99)+1)</f>
        <v/>
      </c>
      <c r="B100" s="111" t="str">
        <f t="shared" si="1"/>
        <v/>
      </c>
      <c r="C100" s="143"/>
      <c r="D100" s="175" t="s">
        <v>944</v>
      </c>
      <c r="E100" s="145"/>
      <c r="F100" s="146"/>
      <c r="G100" s="147"/>
      <c r="H100" s="117"/>
      <c r="I100" s="148"/>
      <c r="J100" s="149"/>
    </row>
    <row r="101" spans="1:10" s="123" customFormat="1" ht="87" x14ac:dyDescent="0.2">
      <c r="A101" s="110">
        <f>IF((C101)="","",MAX($A$2:A100)+1)</f>
        <v>65</v>
      </c>
      <c r="B101" s="111">
        <f t="shared" si="1"/>
        <v>244236</v>
      </c>
      <c r="C101" s="112" t="s">
        <v>614</v>
      </c>
      <c r="D101" s="127" t="s">
        <v>945</v>
      </c>
      <c r="E101" s="127"/>
      <c r="F101" s="127" t="s">
        <v>946</v>
      </c>
      <c r="G101" s="127" t="s">
        <v>946</v>
      </c>
      <c r="H101" s="117" t="s">
        <v>617</v>
      </c>
      <c r="I101" s="167"/>
      <c r="J101" s="189" t="s">
        <v>947</v>
      </c>
    </row>
    <row r="102" spans="1:10" s="123" customFormat="1" ht="87" x14ac:dyDescent="0.2">
      <c r="A102" s="110">
        <f>IF((C102)="","",MAX($A$2:A101)+1)</f>
        <v>66</v>
      </c>
      <c r="B102" s="111">
        <f t="shared" si="1"/>
        <v>244236</v>
      </c>
      <c r="C102" s="112" t="s">
        <v>614</v>
      </c>
      <c r="D102" s="127" t="s">
        <v>948</v>
      </c>
      <c r="E102" s="127"/>
      <c r="F102" s="127" t="s">
        <v>946</v>
      </c>
      <c r="G102" s="127" t="s">
        <v>946</v>
      </c>
      <c r="H102" s="117" t="s">
        <v>617</v>
      </c>
      <c r="I102" s="167"/>
      <c r="J102" s="189" t="s">
        <v>947</v>
      </c>
    </row>
    <row r="103" spans="1:10" s="123" customFormat="1" ht="21.75" x14ac:dyDescent="0.5">
      <c r="A103" s="110" t="str">
        <f>IF((C103)="","",MAX($A$2:A102)+1)</f>
        <v/>
      </c>
      <c r="B103" s="111" t="str">
        <f t="shared" si="1"/>
        <v/>
      </c>
      <c r="C103" s="179"/>
      <c r="D103" s="175" t="s">
        <v>650</v>
      </c>
      <c r="E103" s="175"/>
      <c r="F103" s="179"/>
      <c r="G103" s="164"/>
      <c r="H103" s="117"/>
      <c r="I103" s="165"/>
      <c r="J103" s="166"/>
    </row>
    <row r="104" spans="1:10" s="123" customFormat="1" ht="130.5" x14ac:dyDescent="0.2">
      <c r="A104" s="110">
        <f>IF((C104)="","",MAX($A$2:A103)+1)</f>
        <v>67</v>
      </c>
      <c r="B104" s="111">
        <f t="shared" si="1"/>
        <v>244236</v>
      </c>
      <c r="C104" s="112" t="s">
        <v>614</v>
      </c>
      <c r="D104" s="157" t="s">
        <v>949</v>
      </c>
      <c r="E104" s="127"/>
      <c r="F104" s="127" t="s">
        <v>950</v>
      </c>
      <c r="G104" s="127" t="s">
        <v>950</v>
      </c>
      <c r="H104" s="117" t="s">
        <v>617</v>
      </c>
      <c r="I104" s="167"/>
      <c r="J104" s="202"/>
    </row>
    <row r="105" spans="1:10" s="123" customFormat="1" ht="172.5" x14ac:dyDescent="0.2">
      <c r="A105" s="110">
        <f>IF((C105)="","",MAX($A$2:A104)+1)</f>
        <v>68</v>
      </c>
      <c r="B105" s="111">
        <f t="shared" si="1"/>
        <v>244236</v>
      </c>
      <c r="C105" s="112" t="s">
        <v>614</v>
      </c>
      <c r="D105" s="157" t="s">
        <v>951</v>
      </c>
      <c r="E105" s="127"/>
      <c r="F105" s="127" t="s">
        <v>952</v>
      </c>
      <c r="G105" s="127" t="s">
        <v>952</v>
      </c>
      <c r="H105" s="117" t="s">
        <v>617</v>
      </c>
      <c r="I105" s="167"/>
      <c r="J105" s="202"/>
    </row>
    <row r="106" spans="1:10" s="123" customFormat="1" ht="172.5" x14ac:dyDescent="0.2">
      <c r="A106" s="110">
        <f>IF((C106)="","",MAX($A$2:A105)+1)</f>
        <v>69</v>
      </c>
      <c r="B106" s="111">
        <f t="shared" si="1"/>
        <v>244236</v>
      </c>
      <c r="C106" s="112" t="s">
        <v>614</v>
      </c>
      <c r="D106" s="157" t="s">
        <v>953</v>
      </c>
      <c r="E106" s="127"/>
      <c r="F106" s="127" t="s">
        <v>954</v>
      </c>
      <c r="G106" s="127" t="s">
        <v>954</v>
      </c>
      <c r="H106" s="117" t="s">
        <v>617</v>
      </c>
      <c r="I106" s="167"/>
      <c r="J106" s="203"/>
    </row>
    <row r="107" spans="1:10" s="123" customFormat="1" ht="172.5" x14ac:dyDescent="0.2">
      <c r="A107" s="110">
        <f>IF((C107)="","",MAX($A$2:A106)+1)</f>
        <v>70</v>
      </c>
      <c r="B107" s="111">
        <f t="shared" si="1"/>
        <v>244236</v>
      </c>
      <c r="C107" s="112" t="s">
        <v>614</v>
      </c>
      <c r="D107" s="157" t="s">
        <v>955</v>
      </c>
      <c r="E107" s="127"/>
      <c r="F107" s="127" t="s">
        <v>956</v>
      </c>
      <c r="G107" s="127" t="s">
        <v>956</v>
      </c>
      <c r="H107" s="117" t="s">
        <v>617</v>
      </c>
      <c r="I107" s="167"/>
      <c r="J107" s="202"/>
    </row>
    <row r="108" spans="1:10" s="123" customFormat="1" ht="21.75" x14ac:dyDescent="0.5">
      <c r="A108" s="110" t="str">
        <f>IF((C108)="","",MAX($A$2:A107)+1)</f>
        <v/>
      </c>
      <c r="B108" s="111" t="str">
        <f t="shared" si="1"/>
        <v/>
      </c>
      <c r="C108" s="179"/>
      <c r="D108" s="175" t="s">
        <v>651</v>
      </c>
      <c r="E108" s="175"/>
      <c r="F108" s="179"/>
      <c r="G108" s="179"/>
      <c r="H108" s="117"/>
      <c r="I108" s="165"/>
      <c r="J108" s="166"/>
    </row>
    <row r="109" spans="1:10" s="123" customFormat="1" ht="217.5" x14ac:dyDescent="0.2">
      <c r="A109" s="110">
        <f>IF((C109)="","",MAX($A$2:A108)+1)</f>
        <v>71</v>
      </c>
      <c r="B109" s="111">
        <f t="shared" si="1"/>
        <v>244236</v>
      </c>
      <c r="C109" s="112" t="s">
        <v>614</v>
      </c>
      <c r="D109" s="157" t="s">
        <v>957</v>
      </c>
      <c r="E109" s="127"/>
      <c r="F109" s="127" t="s">
        <v>958</v>
      </c>
      <c r="G109" s="127" t="s">
        <v>958</v>
      </c>
      <c r="H109" s="117" t="s">
        <v>617</v>
      </c>
      <c r="I109" s="167"/>
      <c r="J109" s="202"/>
    </row>
    <row r="110" spans="1:10" s="80" customFormat="1" ht="217.5" x14ac:dyDescent="0.2">
      <c r="A110" s="110">
        <f>IF((C110)="","",MAX($A$2:A109)+1)</f>
        <v>72</v>
      </c>
      <c r="B110" s="111">
        <f t="shared" si="1"/>
        <v>244236</v>
      </c>
      <c r="C110" s="112" t="s">
        <v>614</v>
      </c>
      <c r="D110" s="157" t="s">
        <v>959</v>
      </c>
      <c r="E110" s="127"/>
      <c r="F110" s="127" t="s">
        <v>958</v>
      </c>
      <c r="G110" s="127" t="s">
        <v>958</v>
      </c>
      <c r="H110" s="117" t="s">
        <v>617</v>
      </c>
      <c r="I110" s="167"/>
      <c r="J110" s="202"/>
    </row>
    <row r="111" spans="1:10" s="80" customFormat="1" ht="21.75" x14ac:dyDescent="0.5">
      <c r="A111" s="110" t="str">
        <f>IF((C111)="","",MAX($A$2:A110)+1)</f>
        <v/>
      </c>
      <c r="B111" s="111" t="str">
        <f t="shared" si="1"/>
        <v/>
      </c>
      <c r="C111" s="179"/>
      <c r="D111" s="175" t="s">
        <v>960</v>
      </c>
      <c r="E111" s="175"/>
      <c r="F111" s="179"/>
      <c r="G111" s="179"/>
      <c r="H111" s="117"/>
      <c r="I111" s="165"/>
      <c r="J111" s="166"/>
    </row>
    <row r="112" spans="1:10" ht="21.75" x14ac:dyDescent="0.2">
      <c r="A112" s="110">
        <f>IF((C112)="","",MAX($A$2:A111)+1)</f>
        <v>73</v>
      </c>
      <c r="B112" s="111">
        <f t="shared" si="1"/>
        <v>244236</v>
      </c>
      <c r="C112" s="112" t="s">
        <v>614</v>
      </c>
      <c r="D112" s="157" t="s">
        <v>961</v>
      </c>
      <c r="E112" s="127"/>
      <c r="F112" s="127" t="s">
        <v>962</v>
      </c>
      <c r="G112" s="127" t="s">
        <v>962</v>
      </c>
      <c r="H112" s="117" t="s">
        <v>617</v>
      </c>
      <c r="I112" s="167"/>
      <c r="J112" s="202"/>
    </row>
    <row r="113" spans="1:10" ht="21.75" x14ac:dyDescent="0.5">
      <c r="A113" s="110" t="str">
        <f>IF((C113)="","",MAX($A$2:A112)+1)</f>
        <v/>
      </c>
      <c r="B113" s="111" t="str">
        <f t="shared" si="1"/>
        <v/>
      </c>
      <c r="C113" s="204"/>
      <c r="D113" s="205" t="s">
        <v>963</v>
      </c>
      <c r="E113" s="206"/>
      <c r="F113" s="207"/>
      <c r="G113" s="208"/>
      <c r="H113" s="117"/>
      <c r="I113" s="209"/>
      <c r="J113" s="209"/>
    </row>
    <row r="114" spans="1:10" ht="21.75" x14ac:dyDescent="0.2">
      <c r="A114" s="110">
        <f>IF((C114)="","",MAX($A$2:A113)+1)</f>
        <v>74</v>
      </c>
      <c r="B114" s="111">
        <f t="shared" si="1"/>
        <v>244236</v>
      </c>
      <c r="C114" s="204" t="s">
        <v>614</v>
      </c>
      <c r="D114" s="210" t="s">
        <v>964</v>
      </c>
      <c r="E114" s="211"/>
      <c r="F114" s="210" t="s">
        <v>965</v>
      </c>
      <c r="G114" s="210" t="s">
        <v>965</v>
      </c>
      <c r="H114" s="117" t="s">
        <v>617</v>
      </c>
      <c r="I114" s="209"/>
      <c r="J114" s="209"/>
    </row>
  </sheetData>
  <mergeCells count="46">
    <mergeCell ref="D96:E96"/>
    <mergeCell ref="D100:E100"/>
    <mergeCell ref="D103:E103"/>
    <mergeCell ref="D108:E108"/>
    <mergeCell ref="D111:E111"/>
    <mergeCell ref="D113:E113"/>
    <mergeCell ref="D61:E61"/>
    <mergeCell ref="D66:E66"/>
    <mergeCell ref="D69:E69"/>
    <mergeCell ref="D79:E79"/>
    <mergeCell ref="D82:E82"/>
    <mergeCell ref="D92:E92"/>
    <mergeCell ref="A17:J17"/>
    <mergeCell ref="J19:J40"/>
    <mergeCell ref="D44:E44"/>
    <mergeCell ref="G45:G48"/>
    <mergeCell ref="D49:E49"/>
    <mergeCell ref="D55:E55"/>
    <mergeCell ref="A13:C13"/>
    <mergeCell ref="D13:F13"/>
    <mergeCell ref="G13:J13"/>
    <mergeCell ref="A14:C14"/>
    <mergeCell ref="G14:J14"/>
    <mergeCell ref="B16:D16"/>
    <mergeCell ref="A10:C10"/>
    <mergeCell ref="D10:F10"/>
    <mergeCell ref="A11:C11"/>
    <mergeCell ref="D11:F11"/>
    <mergeCell ref="H11:J11"/>
    <mergeCell ref="A12:C12"/>
    <mergeCell ref="D12:F12"/>
    <mergeCell ref="H12:J12"/>
    <mergeCell ref="A5:C5"/>
    <mergeCell ref="A6:C6"/>
    <mergeCell ref="A7:C7"/>
    <mergeCell ref="A8:C8"/>
    <mergeCell ref="D8:F8"/>
    <mergeCell ref="A9:C9"/>
    <mergeCell ref="A1:J1"/>
    <mergeCell ref="A2:F2"/>
    <mergeCell ref="G2:J2"/>
    <mergeCell ref="A3:C3"/>
    <mergeCell ref="H3:J3"/>
    <mergeCell ref="A4:C4"/>
    <mergeCell ref="D4:F4"/>
    <mergeCell ref="H4:I4"/>
  </mergeCells>
  <conditionalFormatting sqref="H19:H114">
    <cfRule type="cellIs" dxfId="62" priority="1" stopIfTrue="1" operator="equal">
      <formula>"Fail"</formula>
    </cfRule>
    <cfRule type="cellIs" dxfId="61" priority="2" stopIfTrue="1" operator="equal">
      <formula>"Fail"</formula>
    </cfRule>
    <cfRule type="cellIs" dxfId="60" priority="3" stopIfTrue="1" operator="equal">
      <formula>"Pass"</formula>
    </cfRule>
  </conditionalFormatting>
  <conditionalFormatting sqref="H44:H46">
    <cfRule type="cellIs" dxfId="59" priority="4" stopIfTrue="1" operator="equal">
      <formula>"Fail"</formula>
    </cfRule>
    <cfRule type="cellIs" dxfId="58" priority="5" stopIfTrue="1" operator="equal">
      <formula>"Fail"</formula>
    </cfRule>
    <cfRule type="cellIs" dxfId="57" priority="6" stopIfTrue="1" operator="equal">
      <formula>"Pass"</formula>
    </cfRule>
  </conditionalFormatting>
  <conditionalFormatting sqref="H48">
    <cfRule type="cellIs" dxfId="54" priority="61" stopIfTrue="1" operator="equal">
      <formula>"Fail"</formula>
    </cfRule>
    <cfRule type="cellIs" dxfId="55" priority="62" stopIfTrue="1" operator="equal">
      <formula>"Fail"</formula>
    </cfRule>
    <cfRule type="cellIs" dxfId="56" priority="63" stopIfTrue="1" operator="equal">
      <formula>"Pass"</formula>
    </cfRule>
  </conditionalFormatting>
  <conditionalFormatting sqref="H50:H52">
    <cfRule type="cellIs" dxfId="51" priority="58" stopIfTrue="1" operator="equal">
      <formula>"Fail"</formula>
    </cfRule>
    <cfRule type="cellIs" dxfId="52" priority="59" stopIfTrue="1" operator="equal">
      <formula>"Fail"</formula>
    </cfRule>
    <cfRule type="cellIs" dxfId="53" priority="60" stopIfTrue="1" operator="equal">
      <formula>"Pass"</formula>
    </cfRule>
  </conditionalFormatting>
  <conditionalFormatting sqref="H54:H56">
    <cfRule type="cellIs" dxfId="50" priority="16" stopIfTrue="1" operator="equal">
      <formula>"Fail"</formula>
    </cfRule>
    <cfRule type="cellIs" dxfId="49" priority="17" stopIfTrue="1" operator="equal">
      <formula>"Fail"</formula>
    </cfRule>
    <cfRule type="cellIs" dxfId="48" priority="18" stopIfTrue="1" operator="equal">
      <formula>"Pass"</formula>
    </cfRule>
  </conditionalFormatting>
  <conditionalFormatting sqref="H58:H63">
    <cfRule type="cellIs" dxfId="47" priority="25" stopIfTrue="1" operator="equal">
      <formula>"Fail"</formula>
    </cfRule>
    <cfRule type="cellIs" dxfId="46" priority="26" stopIfTrue="1" operator="equal">
      <formula>"Fail"</formula>
    </cfRule>
    <cfRule type="cellIs" dxfId="45" priority="27" stopIfTrue="1" operator="equal">
      <formula>"Pass"</formula>
    </cfRule>
  </conditionalFormatting>
  <conditionalFormatting sqref="H65:H66">
    <cfRule type="cellIs" dxfId="42" priority="55" stopIfTrue="1" operator="equal">
      <formula>"Fail"</formula>
    </cfRule>
    <cfRule type="cellIs" dxfId="44" priority="56" stopIfTrue="1" operator="equal">
      <formula>"Fail"</formula>
    </cfRule>
    <cfRule type="cellIs" dxfId="43" priority="57" stopIfTrue="1" operator="equal">
      <formula>"Pass"</formula>
    </cfRule>
  </conditionalFormatting>
  <conditionalFormatting sqref="H68:H75">
    <cfRule type="cellIs" dxfId="41" priority="31" stopIfTrue="1" operator="equal">
      <formula>"Fail"</formula>
    </cfRule>
    <cfRule type="cellIs" dxfId="40" priority="32" stopIfTrue="1" operator="equal">
      <formula>"Fail"</formula>
    </cfRule>
    <cfRule type="cellIs" dxfId="39" priority="33" stopIfTrue="1" operator="equal">
      <formula>"Pass"</formula>
    </cfRule>
  </conditionalFormatting>
  <conditionalFormatting sqref="H77:H78">
    <cfRule type="cellIs" dxfId="38" priority="22" stopIfTrue="1" operator="equal">
      <formula>"Fail"</formula>
    </cfRule>
    <cfRule type="cellIs" dxfId="37" priority="23" stopIfTrue="1" operator="equal">
      <formula>"Fail"</formula>
    </cfRule>
    <cfRule type="cellIs" dxfId="36" priority="24" stopIfTrue="1" operator="equal">
      <formula>"Pass"</formula>
    </cfRule>
  </conditionalFormatting>
  <conditionalFormatting sqref="H81:H82">
    <cfRule type="cellIs" dxfId="33" priority="52" stopIfTrue="1" operator="equal">
      <formula>"Fail"</formula>
    </cfRule>
    <cfRule type="cellIs" dxfId="34" priority="53" stopIfTrue="1" operator="equal">
      <formula>"Fail"</formula>
    </cfRule>
    <cfRule type="cellIs" dxfId="35" priority="54" stopIfTrue="1" operator="equal">
      <formula>"Pass"</formula>
    </cfRule>
  </conditionalFormatting>
  <conditionalFormatting sqref="H84">
    <cfRule type="cellIs" dxfId="30" priority="43" stopIfTrue="1" operator="equal">
      <formula>"Fail"</formula>
    </cfRule>
    <cfRule type="cellIs" dxfId="32" priority="44" stopIfTrue="1" operator="equal">
      <formula>"Fail"</formula>
    </cfRule>
    <cfRule type="cellIs" dxfId="31" priority="45" stopIfTrue="1" operator="equal">
      <formula>"Pass"</formula>
    </cfRule>
  </conditionalFormatting>
  <conditionalFormatting sqref="H86">
    <cfRule type="cellIs" dxfId="28" priority="49" stopIfTrue="1" operator="equal">
      <formula>"Fail"</formula>
    </cfRule>
    <cfRule type="cellIs" dxfId="27" priority="50" stopIfTrue="1" operator="equal">
      <formula>"Fail"</formula>
    </cfRule>
    <cfRule type="cellIs" dxfId="29" priority="51" stopIfTrue="1" operator="equal">
      <formula>"Pass"</formula>
    </cfRule>
  </conditionalFormatting>
  <conditionalFormatting sqref="H88">
    <cfRule type="cellIs" dxfId="24" priority="40" stopIfTrue="1" operator="equal">
      <formula>"Fail"</formula>
    </cfRule>
    <cfRule type="cellIs" dxfId="25" priority="41" stopIfTrue="1" operator="equal">
      <formula>"Fail"</formula>
    </cfRule>
    <cfRule type="cellIs" dxfId="26" priority="42" stopIfTrue="1" operator="equal">
      <formula>"Pass"</formula>
    </cfRule>
  </conditionalFormatting>
  <conditionalFormatting sqref="H90">
    <cfRule type="cellIs" dxfId="21" priority="37" stopIfTrue="1" operator="equal">
      <formula>"Fail"</formula>
    </cfRule>
    <cfRule type="cellIs" dxfId="22" priority="38" stopIfTrue="1" operator="equal">
      <formula>"Fail"</formula>
    </cfRule>
    <cfRule type="cellIs" dxfId="23" priority="39" stopIfTrue="1" operator="equal">
      <formula>"Pass"</formula>
    </cfRule>
  </conditionalFormatting>
  <conditionalFormatting sqref="H92">
    <cfRule type="cellIs" dxfId="20" priority="19" stopIfTrue="1" operator="equal">
      <formula>"Fail"</formula>
    </cfRule>
    <cfRule type="cellIs" dxfId="18" priority="20" stopIfTrue="1" operator="equal">
      <formula>"Fail"</formula>
    </cfRule>
    <cfRule type="cellIs" dxfId="19" priority="21" stopIfTrue="1" operator="equal">
      <formula>"Pass"</formula>
    </cfRule>
  </conditionalFormatting>
  <conditionalFormatting sqref="H94:H97">
    <cfRule type="cellIs" dxfId="17" priority="10" stopIfTrue="1" operator="equal">
      <formula>"Fail"</formula>
    </cfRule>
    <cfRule type="cellIs" dxfId="16" priority="11" stopIfTrue="1" operator="equal">
      <formula>"Fail"</formula>
    </cfRule>
    <cfRule type="cellIs" dxfId="15" priority="12" stopIfTrue="1" operator="equal">
      <formula>"Pass"</formula>
    </cfRule>
  </conditionalFormatting>
  <conditionalFormatting sqref="H99:H100">
    <cfRule type="cellIs" dxfId="12" priority="28" stopIfTrue="1" operator="equal">
      <formula>"Fail"</formula>
    </cfRule>
    <cfRule type="cellIs" dxfId="13" priority="29" stopIfTrue="1" operator="equal">
      <formula>"Fail"</formula>
    </cfRule>
    <cfRule type="cellIs" dxfId="14" priority="30" stopIfTrue="1" operator="equal">
      <formula>"Pass"</formula>
    </cfRule>
  </conditionalFormatting>
  <conditionalFormatting sqref="H102:H105">
    <cfRule type="cellIs" dxfId="9" priority="46" stopIfTrue="1" operator="equal">
      <formula>"Fail"</formula>
    </cfRule>
    <cfRule type="cellIs" dxfId="11" priority="47" stopIfTrue="1" operator="equal">
      <formula>"Fail"</formula>
    </cfRule>
    <cfRule type="cellIs" dxfId="10" priority="48" stopIfTrue="1" operator="equal">
      <formula>"Pass"</formula>
    </cfRule>
  </conditionalFormatting>
  <conditionalFormatting sqref="H107:H110">
    <cfRule type="cellIs" dxfId="8" priority="34" stopIfTrue="1" operator="equal">
      <formula>"Fail"</formula>
    </cfRule>
    <cfRule type="cellIs" dxfId="7" priority="35" stopIfTrue="1" operator="equal">
      <formula>"Fail"</formula>
    </cfRule>
    <cfRule type="cellIs" dxfId="6" priority="36" stopIfTrue="1" operator="equal">
      <formula>"Pass"</formula>
    </cfRule>
  </conditionalFormatting>
  <conditionalFormatting sqref="H112">
    <cfRule type="cellIs" dxfId="5" priority="13" stopIfTrue="1" operator="equal">
      <formula>"Fail"</formula>
    </cfRule>
    <cfRule type="cellIs" dxfId="4" priority="14" stopIfTrue="1" operator="equal">
      <formula>"Fail"</formula>
    </cfRule>
    <cfRule type="cellIs" dxfId="3" priority="15" stopIfTrue="1" operator="equal">
      <formula>"Pass"</formula>
    </cfRule>
  </conditionalFormatting>
  <conditionalFormatting sqref="H114">
    <cfRule type="cellIs" dxfId="0" priority="7" stopIfTrue="1" operator="equal">
      <formula>"Fail"</formula>
    </cfRule>
    <cfRule type="cellIs" dxfId="1" priority="8" stopIfTrue="1" operator="equal">
      <formula>"Fail"</formula>
    </cfRule>
    <cfRule type="cellIs" dxfId="2" priority="9" stopIfTrue="1" operator="equal">
      <formula>"Pass"</formula>
    </cfRule>
  </conditionalFormatting>
  <dataValidations count="3">
    <dataValidation type="list" operator="equal" allowBlank="1" sqref="D5" xr:uid="{E030F2C2-4AED-4D41-B8C9-60D13970B81B}">
      <formula1>"Unit,Integration,System,UAT,Other, Please specify"</formula1>
      <formula2>0</formula2>
    </dataValidation>
    <dataValidation type="list" operator="equal" allowBlank="1" sqref="H4" xr:uid="{06F48310-183A-4D91-9671-70EE87C2F2FA}">
      <formula1>"Stand Alone,Client/Server,Web Browser"</formula1>
      <formula2>0</formula2>
    </dataValidation>
    <dataValidation type="list" allowBlank="1" showInputMessage="1" showErrorMessage="1" sqref="QKF19:QKF20 QUB19:QUB20 RDX19:RDX20 RNT19:RNT20 RXP19:RXP20 SHL19:SHL20 SRH19:SRH20 TBD19:TBD20 TKZ19:TKZ20 TUV19:TUV20 UER19:UER20 UON19:UON20 UYJ19:UYJ20 VIF19:VIF20 VSB19:VSB20 WBX19:WBX20 WLT19:WLT20 WVP19:WVP20 JD19:JD20 SZ19:SZ20 ACV19:ACV20 AMR19:AMR20 AWN19:AWN20 BGJ19:BGJ20 BQF19:BQF20 CAB19:CAB20 CJX19:CJX20 CTT19:CTT20 DDP19:DDP20 DNL19:DNL20 DXH19:DXH20 EHD19:EHD20 EQZ19:EQZ20 FAV19:FAV20 FKR19:FKR20 FUN19:FUN20 GEJ19:GEJ20 GOF19:GOF20 GYB19:GYB20 HHX19:HHX20 HRT19:HRT20 IBP19:IBP20 ILL19:ILL20 IVH19:IVH20 JFD19:JFD20 JOZ19:JOZ20 JYV19:JYV20 KIR19:KIR20 KSN19:KSN20 LCJ19:LCJ20 LMF19:LMF20 LWB19:LWB20 MFX19:MFX20 MPT19:MPT20 MZP19:MZP20 NJL19:NJL20 NTH19:NTH20 ODD19:ODD20 OMZ19:OMZ20 OWV19:OWV20 PGR19:PGR20 PQN19:PQN20 QAJ19:QAJ20 H68:H75 H112 H50:H52 H92 H65:H66 H58:H63 H84 H77:H78 H90 H102:H105 H81:H82 H86 H88 H54:H56 H107:H110 H114 H44:H46 H99:H100 H48 H94:H97 H20:H42" xr:uid="{54C787CC-52D5-403F-A2A9-2F7E8BDA7515}">
      <formula1>"Pass,Fail,N/A"</formula1>
    </dataValidation>
  </dataValidations>
  <hyperlinks>
    <hyperlink ref="G45:G48" location="validate!A1" display="validate!A1" xr:uid="{456EF708-78E8-4AEB-9B1E-8B095AEB2016}"/>
    <hyperlink ref="G47" location="validate!A1" display="validate!A1" xr:uid="{0D16DA85-DEC1-4507-8151-23163C909684}"/>
    <hyperlink ref="J24" location="Config!A1" display="Config!A1" xr:uid="{026CE69F-B41E-426E-AD39-DDDAE78E72ED}"/>
    <hyperlink ref="J41" location="Config!A1" display="Config!A1" xr:uid="{59008B59-D13E-4F56-B64C-50F99C7BEC1C}"/>
    <hyperlink ref="J77:J78" location="ORTimeout!A1" display="ORTimeout!A1" xr:uid="{8428DD4A-69A8-4B4F-9A98-096DAC061F31}"/>
    <hyperlink ref="J76" location="ORTimeout!A1" display="ORTimeout!A1" xr:uid="{C07F671E-3868-4C65-93B3-8C756C6594F1}"/>
    <hyperlink ref="J75" location="ORTimeout!A1" display="ORTimeout!A1" xr:uid="{331E0DB1-DF99-4E02-8E09-04AB1FC0770E}"/>
    <hyperlink ref="J102" location="ค่าบริการ!A1" display="ค่าบริการ!A1" xr:uid="{E54CDE15-7996-432C-A98B-FE194F48905A}"/>
    <hyperlink ref="J101" location="ค่าบริการ!A1" display="ค่าบริการ!A1" xr:uid="{120406BB-A4AC-4E7F-8452-EA12F77EE0ED}"/>
    <hyperlink ref="J98" location="ยอดเงิน!A1" display="ยอดเงิน!A1" xr:uid="{B680E983-B985-4AAC-BF28-6E8B7D8C098C}"/>
    <hyperlink ref="J97" location="ยอดเงิน!A1" display="ยอดเงิน!A1" xr:uid="{AEC27BB2-ABE5-4702-BA3D-0CF76367C707}"/>
    <hyperlink ref="J90:J91" location="Duplicate!A1" display="Duplicate!A1" xr:uid="{BEC8870B-F082-49D0-8980-4121F0F097F8}"/>
    <hyperlink ref="J87:J88" location="Duplicate!A1" display="Duplicate!A1" xr:uid="{3264B94C-3FE3-4CEE-8416-7009142CE84F}"/>
    <hyperlink ref="J85" location="Duplicate!A1" display="Duplicate!A1" xr:uid="{5AA05E97-F37B-4404-8AD7-B4AC526A1A2E}"/>
    <hyperlink ref="J84" location="Duplicate!A1" display="Duplicate!A1" xr:uid="{5CA61F13-E037-4C9C-BB3B-ADCB57383A64}"/>
    <hyperlink ref="J81" location="Cancel!A1" display="Cancel!A1" xr:uid="{AF35173C-653D-41CD-90A7-1B9CE079D139}"/>
    <hyperlink ref="J80" location="Cancel!A1" display="Cancel!A1" xr:uid="{DADAE844-E1F9-4D66-AEE8-FF1A57E9579D}"/>
    <hyperlink ref="J73" location="ORConfirm!A1" display="ORConfirm!A1" xr:uid="{B9D799A0-E570-4981-A80D-3F34C7C78E95}"/>
    <hyperlink ref="J72" location="ORConfirm!A1" display="ORConfirm!A1" xr:uid="{267464F5-1413-4F64-95CB-A8814070871B}"/>
    <hyperlink ref="J71" location="ORConfirm!A1" display="ORConfirm!A1" xr:uid="{42CEB9A2-AB00-4443-BE26-6FF8FB658229}"/>
    <hyperlink ref="J70" location="OR!A1" display="OR!A1" xr:uid="{D2CCC70A-E618-493C-B653-FBB784463248}"/>
    <hyperlink ref="J68" location="'OR CANCEL'!A1" display="'OR CANCEL'!A1" xr:uid="{DCD84D9A-7153-44E1-A163-D00A5B2354B4}"/>
    <hyperlink ref="J67" location="'OR CANCEL'!A1" display="'OR CANCEL'!A1" xr:uid="{CE260F99-6C55-44E9-B472-0151C57BE146}"/>
    <hyperlink ref="J63:J65" location="Reprint!A1" display="Reprint!A1" xr:uid="{661E2F5A-9306-4A4A-A433-2F17FF0A24BD}"/>
    <hyperlink ref="J62" location="Reprint!A1" display="Reprint!A1" xr:uid="{20D0146B-944C-415D-A1BC-A3B15E39D6EB}"/>
    <hyperlink ref="J57" location="Confirm!A1" display="Confirm!A1" xr:uid="{B59872AE-D8C8-4BEE-A9D9-EA899F951633}"/>
    <hyperlink ref="J56" location="Confirm!A1" display="Confirm!A1" xr:uid="{CC7C639E-FD31-4AA5-A72E-B626ED8B2BE2}"/>
    <hyperlink ref="J52:J54" location="Exchange!A1" display="Exchange!A1" xr:uid="{A66B6582-166B-48DF-AECD-4D7FE65E33BB}"/>
    <hyperlink ref="J50" location="Exchange!A1" display="Exchange!A1" xr:uid="{B5324A4E-2ACB-409B-BE1C-1CDD8B33DF54}"/>
  </hyperlinks>
  <pageMargins left="0.35433070866141736" right="0.35433070866141736" top="0.43307086614173229" bottom="0.74803149606299213" header="0.19685039370078741" footer="0.27559055118110237"/>
  <pageSetup paperSize="9" scale="10" firstPageNumber="0" orientation="landscape" horizontalDpi="300" verticalDpi="300" r:id="rId1"/>
  <headerFooter alignWithMargins="0">
    <oddHeader>&amp;R&amp;9&amp;F</oddHeader>
    <oddFooter>&amp;L&amp;9Confidential – Restricted Circulation Only  
© 2017 Gosoft (Thailand) Co., Ltd prepared for internal use only
Printed copies of this Document are not controlled and will not be updated.                 &amp;R&amp;"Angsana New,Regular"&amp;12&amp;F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81"/>
  <sheetViews>
    <sheetView topLeftCell="A43" workbookViewId="0">
      <selection activeCell="D53" sqref="A53:D57"/>
    </sheetView>
  </sheetViews>
  <sheetFormatPr defaultRowHeight="14.25" x14ac:dyDescent="0.2"/>
  <cols>
    <col min="1" max="1" width="35" customWidth="1"/>
    <col min="2" max="2" width="38" customWidth="1"/>
    <col min="3" max="3" width="71" customWidth="1"/>
    <col min="4" max="4" width="73" customWidth="1"/>
    <col min="5" max="5" width="23" customWidth="1"/>
    <col min="6" max="6" width="26" customWidth="1"/>
    <col min="7" max="7" width="21" customWidth="1"/>
    <col min="8" max="8" width="49" customWidth="1"/>
    <col min="9" max="9" width="21" customWidth="1"/>
    <col min="10" max="10" width="13" customWidth="1"/>
    <col min="11" max="13" width="21" customWidth="1"/>
    <col min="14" max="14" width="17" customWidth="1"/>
    <col min="15" max="16" width="21" customWidth="1"/>
    <col min="17" max="17" width="23" customWidth="1"/>
    <col min="18" max="18" width="25" customWidth="1"/>
    <col min="19" max="19" width="16" customWidth="1"/>
    <col min="20" max="24" width="13" customWidth="1"/>
    <col min="25" max="25" width="10" customWidth="1"/>
    <col min="26" max="26" width="16" customWidth="1"/>
    <col min="27" max="27" width="15" customWidth="1"/>
    <col min="28" max="28" width="16" customWidth="1"/>
    <col min="29" max="30" width="8" customWidth="1"/>
    <col min="31" max="31" width="16" customWidth="1"/>
    <col min="32" max="32" width="15" customWidth="1"/>
    <col min="33" max="34" width="16" customWidth="1"/>
    <col min="35" max="35" width="14" customWidth="1"/>
    <col min="36" max="36" width="13" customWidth="1"/>
    <col min="37" max="37" width="18" customWidth="1"/>
    <col min="38" max="38" width="19" customWidth="1"/>
    <col min="39" max="39" width="18" customWidth="1"/>
    <col min="40" max="40" width="15" customWidth="1"/>
    <col min="41" max="41" width="16" customWidth="1"/>
    <col min="42" max="42" width="17" customWidth="1"/>
    <col min="43" max="43" width="15" customWidth="1"/>
    <col min="44" max="44" width="9" customWidth="1"/>
    <col min="45" max="45" width="21" customWidth="1"/>
    <col min="46" max="46" width="16" customWidth="1"/>
    <col min="47" max="47" width="24" customWidth="1"/>
    <col min="48" max="48" width="15" customWidth="1"/>
    <col min="49" max="49" width="19" customWidth="1"/>
    <col min="50" max="50" width="17" customWidth="1"/>
    <col min="51" max="51" width="14" customWidth="1"/>
    <col min="52" max="52" width="20" customWidth="1"/>
    <col min="53" max="53" width="17" customWidth="1"/>
    <col min="54" max="54" width="9" customWidth="1"/>
    <col min="55" max="55" width="7" customWidth="1"/>
    <col min="56" max="56" width="19" customWidth="1"/>
    <col min="57" max="57" width="27" customWidth="1"/>
    <col min="58" max="58" width="14" customWidth="1"/>
    <col min="59" max="59" width="15" customWidth="1"/>
    <col min="60" max="60" width="19" customWidth="1"/>
    <col min="61" max="61" width="16" customWidth="1"/>
    <col min="62" max="62" width="17" customWidth="1"/>
    <col min="63" max="63" width="7" customWidth="1"/>
    <col min="64" max="64" width="22" customWidth="1"/>
    <col min="65" max="65" width="15" customWidth="1"/>
    <col min="66" max="66" width="19" customWidth="1"/>
    <col min="67" max="67" width="14" customWidth="1"/>
    <col min="68" max="68" width="15" customWidth="1"/>
    <col min="69" max="69" width="23" customWidth="1"/>
    <col min="70" max="70" width="26" customWidth="1"/>
    <col min="71" max="71" width="25" customWidth="1"/>
    <col min="72" max="72" width="16" customWidth="1"/>
    <col min="73" max="73" width="19" customWidth="1"/>
    <col min="74" max="74" width="27" customWidth="1"/>
    <col min="75" max="77" width="18" customWidth="1"/>
    <col min="78" max="78" width="14" customWidth="1"/>
    <col min="79" max="79" width="20" customWidth="1"/>
    <col min="80" max="80" width="16" customWidth="1"/>
    <col min="81" max="81" width="23" customWidth="1"/>
    <col min="82" max="82" width="18" customWidth="1"/>
    <col min="83" max="83" width="13" customWidth="1"/>
    <col min="84" max="84" width="20" customWidth="1"/>
    <col min="85" max="85" width="21" customWidth="1"/>
    <col min="86" max="87" width="25" customWidth="1"/>
    <col min="88" max="88" width="23" customWidth="1"/>
    <col min="89" max="89" width="13" customWidth="1"/>
    <col min="90" max="90" width="21" customWidth="1"/>
    <col min="91" max="91" width="26" customWidth="1"/>
    <col min="92" max="92" width="24" customWidth="1"/>
    <col min="93" max="93" width="19" customWidth="1"/>
    <col min="94" max="94" width="13" customWidth="1"/>
    <col min="95" max="95" width="12" customWidth="1"/>
  </cols>
  <sheetData>
    <row r="1" spans="1:95" x14ac:dyDescent="0.2">
      <c r="A1" s="1" t="s">
        <v>0</v>
      </c>
    </row>
    <row r="3" spans="1:9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77</v>
      </c>
      <c r="BZ3" s="2" t="s">
        <v>78</v>
      </c>
      <c r="CA3" s="2" t="s">
        <v>79</v>
      </c>
      <c r="CB3" s="2" t="s">
        <v>80</v>
      </c>
      <c r="CC3" s="2" t="s">
        <v>81</v>
      </c>
      <c r="CD3" s="2" t="s">
        <v>82</v>
      </c>
      <c r="CE3" s="2" t="s">
        <v>83</v>
      </c>
      <c r="CF3" s="2" t="s">
        <v>84</v>
      </c>
      <c r="CG3" s="2" t="s">
        <v>85</v>
      </c>
      <c r="CH3" s="2" t="s">
        <v>86</v>
      </c>
      <c r="CI3" s="2" t="s">
        <v>87</v>
      </c>
      <c r="CJ3" s="2" t="s">
        <v>88</v>
      </c>
      <c r="CK3" s="2" t="s">
        <v>89</v>
      </c>
      <c r="CL3" s="2" t="s">
        <v>90</v>
      </c>
      <c r="CM3" s="2" t="s">
        <v>91</v>
      </c>
      <c r="CN3" s="2" t="s">
        <v>92</v>
      </c>
      <c r="CO3" s="2" t="s">
        <v>93</v>
      </c>
      <c r="CP3" s="2" t="s">
        <v>94</v>
      </c>
      <c r="CQ3" s="2" t="s">
        <v>95</v>
      </c>
    </row>
    <row r="4" spans="1:95" x14ac:dyDescent="0.2">
      <c r="A4" s="3" t="s">
        <v>96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  <c r="H4" s="3">
        <v>1</v>
      </c>
      <c r="I4" s="3">
        <v>90000</v>
      </c>
      <c r="J4" s="3">
        <v>10800</v>
      </c>
      <c r="K4" s="4">
        <v>45862</v>
      </c>
      <c r="L4" s="4">
        <v>401570</v>
      </c>
      <c r="M4" s="3" t="s">
        <v>103</v>
      </c>
      <c r="N4" s="3" t="s">
        <v>103</v>
      </c>
      <c r="O4" s="4">
        <v>45824</v>
      </c>
      <c r="P4" s="4">
        <v>45824</v>
      </c>
      <c r="Q4" s="3" t="s">
        <v>104</v>
      </c>
      <c r="R4" s="3" t="s">
        <v>105</v>
      </c>
      <c r="S4" s="3" t="s">
        <v>106</v>
      </c>
      <c r="T4" s="3" t="s">
        <v>107</v>
      </c>
      <c r="U4" s="3" t="s">
        <v>98</v>
      </c>
      <c r="V4" s="3" t="s">
        <v>108</v>
      </c>
      <c r="W4" s="3" t="s">
        <v>108</v>
      </c>
      <c r="X4" s="3" t="s">
        <v>109</v>
      </c>
      <c r="Y4" s="3" t="s">
        <v>108</v>
      </c>
      <c r="Z4" s="3" t="s">
        <v>108</v>
      </c>
      <c r="AA4" s="3" t="s">
        <v>110</v>
      </c>
      <c r="AB4" s="3" t="s">
        <v>111</v>
      </c>
      <c r="AC4" s="3"/>
      <c r="AD4" s="3"/>
      <c r="AE4" s="3" t="s">
        <v>112</v>
      </c>
      <c r="AF4" s="3"/>
      <c r="AG4" s="3"/>
      <c r="AH4" s="3" t="s">
        <v>110</v>
      </c>
      <c r="AI4" s="3" t="s">
        <v>108</v>
      </c>
      <c r="AJ4" s="3" t="s">
        <v>108</v>
      </c>
      <c r="AK4" s="3">
        <v>15</v>
      </c>
      <c r="AL4" s="3" t="s">
        <v>98</v>
      </c>
      <c r="AM4" s="3"/>
      <c r="AN4" s="3" t="s">
        <v>108</v>
      </c>
      <c r="AO4" s="3" t="s">
        <v>110</v>
      </c>
      <c r="AP4" s="3" t="s">
        <v>108</v>
      </c>
      <c r="AQ4" s="3" t="s">
        <v>108</v>
      </c>
      <c r="AR4" s="3" t="s">
        <v>108</v>
      </c>
      <c r="AS4" s="3">
        <v>3</v>
      </c>
      <c r="AT4" s="3" t="s">
        <v>110</v>
      </c>
      <c r="AU4" s="3" t="s">
        <v>108</v>
      </c>
      <c r="AV4" s="3" t="s">
        <v>108</v>
      </c>
      <c r="AW4" s="3" t="s">
        <v>113</v>
      </c>
      <c r="AX4" s="3" t="s">
        <v>108</v>
      </c>
      <c r="AY4" s="3" t="s">
        <v>108</v>
      </c>
      <c r="AZ4" s="3" t="s">
        <v>108</v>
      </c>
      <c r="BA4" s="3" t="s">
        <v>108</v>
      </c>
      <c r="BB4" s="3" t="s">
        <v>114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 t="s">
        <v>115</v>
      </c>
      <c r="BP4" s="3"/>
      <c r="BQ4" s="3"/>
      <c r="BR4" s="3"/>
      <c r="BS4" s="3"/>
      <c r="BT4" s="3" t="s">
        <v>108</v>
      </c>
      <c r="BU4" s="3" t="s">
        <v>108</v>
      </c>
      <c r="BV4" s="3" t="s">
        <v>108</v>
      </c>
      <c r="BW4" s="3"/>
      <c r="BX4" s="3"/>
      <c r="BY4" s="3"/>
      <c r="BZ4" s="3" t="s">
        <v>108</v>
      </c>
      <c r="CA4" s="3" t="s">
        <v>108</v>
      </c>
      <c r="CB4" s="3"/>
      <c r="CC4" s="3"/>
      <c r="CD4" s="3"/>
      <c r="CE4" s="3" t="s">
        <v>108</v>
      </c>
      <c r="CF4" s="3" t="s">
        <v>110</v>
      </c>
      <c r="CG4" s="3" t="s">
        <v>108</v>
      </c>
      <c r="CH4" s="3"/>
      <c r="CI4" s="3"/>
      <c r="CJ4" s="3" t="s">
        <v>108</v>
      </c>
      <c r="CK4" s="3"/>
      <c r="CL4" s="3"/>
      <c r="CM4" s="3" t="s">
        <v>110</v>
      </c>
      <c r="CN4" s="4">
        <v>42668.508483796293</v>
      </c>
      <c r="CO4" s="3" t="s">
        <v>108</v>
      </c>
      <c r="CP4" s="3"/>
      <c r="CQ4" s="3"/>
    </row>
    <row r="7" spans="1:95" x14ac:dyDescent="0.2">
      <c r="A7" s="1" t="s">
        <v>116</v>
      </c>
    </row>
    <row r="9" spans="1:95" x14ac:dyDescent="0.2">
      <c r="A9" t="s">
        <v>117</v>
      </c>
    </row>
    <row r="12" spans="1:95" x14ac:dyDescent="0.2">
      <c r="A12" s="1" t="s">
        <v>118</v>
      </c>
    </row>
    <row r="14" spans="1:95" x14ac:dyDescent="0.2">
      <c r="A14" s="2" t="s">
        <v>1</v>
      </c>
      <c r="B14" s="2" t="s">
        <v>2</v>
      </c>
      <c r="C14" s="2" t="s">
        <v>119</v>
      </c>
      <c r="D14" s="2" t="s">
        <v>120</v>
      </c>
      <c r="E14" s="2" t="s">
        <v>121</v>
      </c>
      <c r="F14" s="2" t="s">
        <v>122</v>
      </c>
      <c r="G14" s="2" t="s">
        <v>11</v>
      </c>
      <c r="H14" s="2" t="s">
        <v>12</v>
      </c>
      <c r="I14" s="2" t="s">
        <v>13</v>
      </c>
      <c r="J14" s="2" t="s">
        <v>14</v>
      </c>
      <c r="K14" s="2" t="s">
        <v>15</v>
      </c>
      <c r="L14" s="2" t="s">
        <v>16</v>
      </c>
      <c r="M14" s="2" t="s">
        <v>17</v>
      </c>
    </row>
    <row r="15" spans="1:95" x14ac:dyDescent="0.2">
      <c r="A15" s="3" t="s">
        <v>96</v>
      </c>
      <c r="B15" s="3" t="s">
        <v>97</v>
      </c>
      <c r="C15" s="3" t="s">
        <v>109</v>
      </c>
      <c r="D15" s="3" t="s">
        <v>123</v>
      </c>
      <c r="E15" s="3" t="s">
        <v>124</v>
      </c>
      <c r="F15" s="3" t="s">
        <v>124</v>
      </c>
      <c r="G15" s="4">
        <v>45882</v>
      </c>
      <c r="H15" s="4">
        <v>401598</v>
      </c>
      <c r="I15" s="3" t="s">
        <v>103</v>
      </c>
      <c r="J15" s="3" t="s">
        <v>103</v>
      </c>
      <c r="K15" s="4">
        <v>45882</v>
      </c>
      <c r="L15" s="4">
        <v>45882</v>
      </c>
      <c r="M15" s="3" t="s">
        <v>104</v>
      </c>
    </row>
    <row r="16" spans="1:95" x14ac:dyDescent="0.2">
      <c r="A16" s="3" t="s">
        <v>96</v>
      </c>
      <c r="B16" s="3" t="s">
        <v>97</v>
      </c>
      <c r="C16" s="3" t="s">
        <v>125</v>
      </c>
      <c r="D16" s="3" t="s">
        <v>126</v>
      </c>
      <c r="E16" s="3" t="s">
        <v>127</v>
      </c>
      <c r="F16" s="3" t="s">
        <v>127</v>
      </c>
      <c r="G16" s="4">
        <v>45882</v>
      </c>
      <c r="H16" s="4">
        <v>401598</v>
      </c>
      <c r="I16" s="3" t="s">
        <v>103</v>
      </c>
      <c r="J16" s="3" t="s">
        <v>103</v>
      </c>
      <c r="K16" s="4">
        <v>45882</v>
      </c>
      <c r="L16" s="4">
        <v>45882</v>
      </c>
      <c r="M16" s="3" t="s">
        <v>104</v>
      </c>
    </row>
    <row r="19" spans="1:18" x14ac:dyDescent="0.2">
      <c r="A19" s="1" t="s">
        <v>128</v>
      </c>
    </row>
    <row r="21" spans="1:18" x14ac:dyDescent="0.2">
      <c r="A21" s="2" t="s">
        <v>2</v>
      </c>
      <c r="B21" s="2" t="s">
        <v>1</v>
      </c>
      <c r="C21" s="2" t="s">
        <v>20</v>
      </c>
      <c r="D21" s="2" t="s">
        <v>21</v>
      </c>
      <c r="E21" s="2" t="s">
        <v>4</v>
      </c>
      <c r="F21" s="2" t="s">
        <v>5</v>
      </c>
      <c r="G21" s="2" t="s">
        <v>18</v>
      </c>
      <c r="H21" s="2" t="s">
        <v>129</v>
      </c>
      <c r="I21" s="2" t="s">
        <v>130</v>
      </c>
      <c r="J21" s="2" t="s">
        <v>131</v>
      </c>
      <c r="K21" s="2" t="s">
        <v>132</v>
      </c>
      <c r="L21" s="2" t="s">
        <v>133</v>
      </c>
      <c r="M21" s="2" t="s">
        <v>134</v>
      </c>
      <c r="N21" s="2" t="s">
        <v>135</v>
      </c>
      <c r="O21" s="2" t="s">
        <v>136</v>
      </c>
      <c r="P21" s="2" t="s">
        <v>137</v>
      </c>
      <c r="Q21" s="2" t="s">
        <v>138</v>
      </c>
      <c r="R21" s="2" t="s">
        <v>139</v>
      </c>
    </row>
    <row r="22" spans="1:18" x14ac:dyDescent="0.2">
      <c r="A22" s="3" t="s">
        <v>97</v>
      </c>
      <c r="B22" s="3" t="s">
        <v>96</v>
      </c>
      <c r="C22" s="3" t="s">
        <v>107</v>
      </c>
      <c r="D22" s="3" t="s">
        <v>98</v>
      </c>
      <c r="E22" s="3" t="s">
        <v>99</v>
      </c>
      <c r="F22" s="3" t="s">
        <v>100</v>
      </c>
      <c r="G22" s="3" t="s">
        <v>105</v>
      </c>
      <c r="H22" s="3" t="s">
        <v>140</v>
      </c>
      <c r="I22" s="3" t="s">
        <v>141</v>
      </c>
      <c r="J22" s="3" t="s">
        <v>142</v>
      </c>
      <c r="K22" s="3" t="s">
        <v>143</v>
      </c>
      <c r="L22" s="3" t="s">
        <v>110</v>
      </c>
      <c r="M22" s="3" t="s">
        <v>144</v>
      </c>
      <c r="N22" s="3" t="s">
        <v>110</v>
      </c>
      <c r="O22" s="3">
        <v>63</v>
      </c>
      <c r="P22" s="3" t="s">
        <v>108</v>
      </c>
      <c r="Q22" s="3"/>
      <c r="R22" s="3"/>
    </row>
    <row r="25" spans="1:18" x14ac:dyDescent="0.2">
      <c r="A25" s="1" t="s">
        <v>145</v>
      </c>
    </row>
    <row r="27" spans="1:18" x14ac:dyDescent="0.2">
      <c r="A27" t="s">
        <v>117</v>
      </c>
    </row>
    <row r="30" spans="1:18" x14ac:dyDescent="0.2">
      <c r="A30" s="1" t="s">
        <v>146</v>
      </c>
    </row>
    <row r="32" spans="1:18" x14ac:dyDescent="0.2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</v>
      </c>
      <c r="F32" s="2" t="s">
        <v>151</v>
      </c>
      <c r="G32" s="2" t="s">
        <v>152</v>
      </c>
    </row>
    <row r="33" spans="1:7" x14ac:dyDescent="0.2">
      <c r="A33" s="3">
        <v>1097202</v>
      </c>
      <c r="B33" s="3" t="s">
        <v>153</v>
      </c>
      <c r="C33" s="3" t="s">
        <v>154</v>
      </c>
      <c r="D33" s="3" t="s">
        <v>155</v>
      </c>
      <c r="E33" s="3" t="s">
        <v>96</v>
      </c>
      <c r="F33" s="3" t="s">
        <v>97</v>
      </c>
      <c r="G33" s="3" t="s">
        <v>156</v>
      </c>
    </row>
    <row r="34" spans="1:7" x14ac:dyDescent="0.2">
      <c r="A34" s="3">
        <v>1097202</v>
      </c>
      <c r="B34" s="3" t="s">
        <v>157</v>
      </c>
      <c r="C34" s="3" t="s">
        <v>154</v>
      </c>
      <c r="D34" s="3"/>
      <c r="E34" s="3" t="s">
        <v>96</v>
      </c>
      <c r="F34" s="3" t="s">
        <v>97</v>
      </c>
      <c r="G34" s="3" t="s">
        <v>156</v>
      </c>
    </row>
    <row r="35" spans="1:7" x14ac:dyDescent="0.2">
      <c r="A35" s="3">
        <v>1097202</v>
      </c>
      <c r="B35" s="3" t="s">
        <v>158</v>
      </c>
      <c r="C35" s="3" t="s">
        <v>154</v>
      </c>
      <c r="D35" s="3" t="s">
        <v>155</v>
      </c>
      <c r="E35" s="3" t="s">
        <v>96</v>
      </c>
      <c r="F35" s="3" t="s">
        <v>97</v>
      </c>
      <c r="G35" s="3" t="s">
        <v>156</v>
      </c>
    </row>
    <row r="36" spans="1:7" x14ac:dyDescent="0.2">
      <c r="A36" s="3">
        <v>1097202</v>
      </c>
      <c r="B36" s="3" t="s">
        <v>159</v>
      </c>
      <c r="C36" s="3" t="s">
        <v>154</v>
      </c>
      <c r="D36" s="3" t="s">
        <v>155</v>
      </c>
      <c r="E36" s="3" t="s">
        <v>96</v>
      </c>
      <c r="F36" s="3" t="s">
        <v>97</v>
      </c>
      <c r="G36" s="3" t="s">
        <v>156</v>
      </c>
    </row>
    <row r="37" spans="1:7" x14ac:dyDescent="0.2">
      <c r="A37" s="3">
        <v>1097202</v>
      </c>
      <c r="B37" s="3" t="s">
        <v>160</v>
      </c>
      <c r="C37" s="3" t="s">
        <v>154</v>
      </c>
      <c r="D37" s="3"/>
      <c r="E37" s="3" t="s">
        <v>96</v>
      </c>
      <c r="F37" s="3" t="s">
        <v>97</v>
      </c>
      <c r="G37" s="3" t="s">
        <v>156</v>
      </c>
    </row>
    <row r="38" spans="1:7" x14ac:dyDescent="0.2">
      <c r="A38" s="3">
        <v>1097202</v>
      </c>
      <c r="B38" s="3" t="s">
        <v>161</v>
      </c>
      <c r="C38" s="3" t="s">
        <v>154</v>
      </c>
      <c r="D38" s="3" t="s">
        <v>155</v>
      </c>
      <c r="E38" s="3" t="s">
        <v>96</v>
      </c>
      <c r="F38" s="3" t="s">
        <v>97</v>
      </c>
      <c r="G38" s="3" t="s">
        <v>156</v>
      </c>
    </row>
    <row r="41" spans="1:7" x14ac:dyDescent="0.2">
      <c r="A41" s="1" t="s">
        <v>162</v>
      </c>
    </row>
    <row r="43" spans="1:7" x14ac:dyDescent="0.2">
      <c r="A43" s="2" t="s">
        <v>163</v>
      </c>
      <c r="B43" s="2" t="s">
        <v>164</v>
      </c>
      <c r="C43" s="2" t="s">
        <v>165</v>
      </c>
      <c r="D43" s="2" t="s">
        <v>166</v>
      </c>
    </row>
    <row r="44" spans="1:7" x14ac:dyDescent="0.2">
      <c r="A44" s="3" t="s">
        <v>167</v>
      </c>
      <c r="B44" s="3" t="s">
        <v>1060</v>
      </c>
      <c r="C44" s="3" t="s">
        <v>168</v>
      </c>
      <c r="D44" s="3" t="s">
        <v>107</v>
      </c>
    </row>
    <row r="45" spans="1:7" x14ac:dyDescent="0.2">
      <c r="A45" s="3" t="s">
        <v>169</v>
      </c>
      <c r="B45" s="3" t="s">
        <v>1061</v>
      </c>
      <c r="C45" s="3" t="s">
        <v>170</v>
      </c>
      <c r="D45" s="3" t="s">
        <v>107</v>
      </c>
    </row>
    <row r="46" spans="1:7" x14ac:dyDescent="0.2">
      <c r="A46" s="3" t="s">
        <v>171</v>
      </c>
      <c r="B46" s="3" t="s">
        <v>1062</v>
      </c>
      <c r="C46" s="3" t="s">
        <v>172</v>
      </c>
      <c r="D46" s="3" t="s">
        <v>107</v>
      </c>
    </row>
    <row r="47" spans="1:7" x14ac:dyDescent="0.2">
      <c r="A47" s="3" t="s">
        <v>173</v>
      </c>
      <c r="B47" s="3" t="s">
        <v>1063</v>
      </c>
      <c r="C47" s="3" t="s">
        <v>174</v>
      </c>
      <c r="D47" s="3" t="s">
        <v>107</v>
      </c>
    </row>
    <row r="50" spans="1:18" x14ac:dyDescent="0.2">
      <c r="A50" s="1" t="s">
        <v>175</v>
      </c>
    </row>
    <row r="52" spans="1:18" x14ac:dyDescent="0.2">
      <c r="A52" t="s">
        <v>117</v>
      </c>
    </row>
    <row r="55" spans="1:18" x14ac:dyDescent="0.2">
      <c r="A55" s="1" t="s">
        <v>176</v>
      </c>
    </row>
    <row r="57" spans="1:18" x14ac:dyDescent="0.2">
      <c r="A57" s="2" t="s">
        <v>1</v>
      </c>
      <c r="B57" s="2" t="s">
        <v>2</v>
      </c>
      <c r="C57" s="2" t="s">
        <v>177</v>
      </c>
      <c r="D57" s="2" t="s">
        <v>178</v>
      </c>
      <c r="E57" s="2" t="s">
        <v>179</v>
      </c>
      <c r="F57" s="2" t="s">
        <v>180</v>
      </c>
      <c r="G57" s="2" t="s">
        <v>181</v>
      </c>
      <c r="H57" s="2" t="s">
        <v>11</v>
      </c>
      <c r="I57" s="2" t="s">
        <v>12</v>
      </c>
      <c r="J57" s="2" t="s">
        <v>13</v>
      </c>
      <c r="K57" s="2" t="s">
        <v>14</v>
      </c>
      <c r="L57" s="2" t="s">
        <v>15</v>
      </c>
      <c r="M57" s="2" t="s">
        <v>16</v>
      </c>
      <c r="N57" s="2" t="s">
        <v>17</v>
      </c>
      <c r="O57" s="2" t="s">
        <v>182</v>
      </c>
      <c r="P57" s="2" t="s">
        <v>183</v>
      </c>
      <c r="Q57" s="2" t="s">
        <v>184</v>
      </c>
      <c r="R57" s="2" t="s">
        <v>185</v>
      </c>
    </row>
    <row r="58" spans="1:18" x14ac:dyDescent="0.2">
      <c r="A58" s="3" t="s">
        <v>96</v>
      </c>
      <c r="B58" s="3" t="s">
        <v>97</v>
      </c>
      <c r="C58" s="3" t="s">
        <v>109</v>
      </c>
      <c r="D58" s="3" t="s">
        <v>186</v>
      </c>
      <c r="E58" s="3" t="s">
        <v>108</v>
      </c>
      <c r="F58" s="3" t="s">
        <v>110</v>
      </c>
      <c r="G58" s="3" t="s">
        <v>108</v>
      </c>
      <c r="H58" s="4">
        <v>45894.648043981477</v>
      </c>
      <c r="I58" s="4">
        <v>401676</v>
      </c>
      <c r="J58" s="3" t="s">
        <v>103</v>
      </c>
      <c r="K58" s="3" t="s">
        <v>103</v>
      </c>
      <c r="L58" s="4">
        <v>45894.648043981477</v>
      </c>
      <c r="M58" s="4">
        <v>45894.648043981477</v>
      </c>
      <c r="N58" s="3"/>
      <c r="O58" s="3"/>
      <c r="P58" s="3"/>
      <c r="Q58" s="3"/>
      <c r="R58" s="3">
        <v>0</v>
      </c>
    </row>
    <row r="59" spans="1:18" x14ac:dyDescent="0.2">
      <c r="A59" s="3" t="s">
        <v>96</v>
      </c>
      <c r="B59" s="3" t="s">
        <v>97</v>
      </c>
      <c r="C59" s="3" t="s">
        <v>112</v>
      </c>
      <c r="D59" s="3" t="s">
        <v>186</v>
      </c>
      <c r="E59" s="3" t="s">
        <v>108</v>
      </c>
      <c r="F59" s="3" t="s">
        <v>110</v>
      </c>
      <c r="G59" s="3" t="s">
        <v>108</v>
      </c>
      <c r="H59" s="4">
        <v>45894.648043981477</v>
      </c>
      <c r="I59" s="4">
        <v>401676</v>
      </c>
      <c r="J59" s="3" t="s">
        <v>103</v>
      </c>
      <c r="K59" s="3" t="s">
        <v>103</v>
      </c>
      <c r="L59" s="4">
        <v>45894.648043981477</v>
      </c>
      <c r="M59" s="4">
        <v>45894.648043981477</v>
      </c>
      <c r="N59" s="3"/>
      <c r="O59" s="3"/>
      <c r="P59" s="3"/>
      <c r="Q59" s="3"/>
      <c r="R59" s="3">
        <v>0</v>
      </c>
    </row>
    <row r="60" spans="1:18" x14ac:dyDescent="0.2">
      <c r="A60" s="3" t="s">
        <v>96</v>
      </c>
      <c r="B60" s="3" t="s">
        <v>97</v>
      </c>
      <c r="C60" s="3" t="s">
        <v>143</v>
      </c>
      <c r="D60" s="3" t="s">
        <v>124</v>
      </c>
      <c r="E60" s="3" t="s">
        <v>108</v>
      </c>
      <c r="F60" s="3" t="s">
        <v>108</v>
      </c>
      <c r="G60" s="3" t="s">
        <v>108</v>
      </c>
      <c r="H60" s="4">
        <v>45894.648043981477</v>
      </c>
      <c r="I60" s="4">
        <v>401676</v>
      </c>
      <c r="J60" s="3" t="s">
        <v>103</v>
      </c>
      <c r="K60" s="3" t="s">
        <v>103</v>
      </c>
      <c r="L60" s="4">
        <v>45894.648043981477</v>
      </c>
      <c r="M60" s="4">
        <v>45894.648043981477</v>
      </c>
      <c r="N60" s="3"/>
      <c r="O60" s="3"/>
      <c r="P60" s="3"/>
      <c r="Q60" s="3"/>
      <c r="R60" s="3">
        <v>0</v>
      </c>
    </row>
    <row r="63" spans="1:18" x14ac:dyDescent="0.2">
      <c r="A63" s="1" t="s">
        <v>187</v>
      </c>
    </row>
    <row r="65" spans="1:9" x14ac:dyDescent="0.2">
      <c r="A65" t="s">
        <v>117</v>
      </c>
    </row>
    <row r="68" spans="1:9" x14ac:dyDescent="0.2">
      <c r="A68" s="1" t="s">
        <v>188</v>
      </c>
    </row>
    <row r="70" spans="1:9" x14ac:dyDescent="0.2">
      <c r="A70" t="s">
        <v>117</v>
      </c>
    </row>
    <row r="73" spans="1:9" x14ac:dyDescent="0.2">
      <c r="A73" s="1" t="s">
        <v>189</v>
      </c>
    </row>
    <row r="75" spans="1:9" x14ac:dyDescent="0.2">
      <c r="A75" t="s">
        <v>117</v>
      </c>
    </row>
    <row r="78" spans="1:9" x14ac:dyDescent="0.2">
      <c r="A78" s="1" t="s">
        <v>190</v>
      </c>
    </row>
    <row r="80" spans="1:9" x14ac:dyDescent="0.2">
      <c r="A80" s="2" t="s">
        <v>1</v>
      </c>
      <c r="B80" s="2" t="s">
        <v>2</v>
      </c>
      <c r="C80" s="2" t="s">
        <v>21</v>
      </c>
      <c r="D80" s="2" t="s">
        <v>191</v>
      </c>
      <c r="E80" s="2" t="s">
        <v>192</v>
      </c>
      <c r="F80" s="2" t="s">
        <v>193</v>
      </c>
      <c r="G80" s="2" t="s">
        <v>194</v>
      </c>
      <c r="H80" s="2" t="s">
        <v>195</v>
      </c>
      <c r="I80" s="2" t="s">
        <v>196</v>
      </c>
    </row>
    <row r="81" spans="1:9" x14ac:dyDescent="0.2">
      <c r="A81" s="3" t="s">
        <v>96</v>
      </c>
      <c r="B81" s="3" t="s">
        <v>97</v>
      </c>
      <c r="C81" s="3" t="s">
        <v>98</v>
      </c>
      <c r="D81" s="3" t="s">
        <v>197</v>
      </c>
      <c r="E81" s="3" t="s">
        <v>108</v>
      </c>
      <c r="F81" s="3" t="s">
        <v>108</v>
      </c>
      <c r="G81" s="3" t="s">
        <v>198</v>
      </c>
      <c r="H81" s="3" t="s">
        <v>199</v>
      </c>
      <c r="I81" s="3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863B-2D22-41A6-AE9D-3B4D3244CAFD}">
  <dimension ref="B2:U47"/>
  <sheetViews>
    <sheetView topLeftCell="A72" workbookViewId="0">
      <selection activeCell="R4" sqref="R4:U4"/>
    </sheetView>
  </sheetViews>
  <sheetFormatPr defaultRowHeight="14.25" x14ac:dyDescent="0.2"/>
  <cols>
    <col min="7" max="7" width="15.25" customWidth="1"/>
  </cols>
  <sheetData>
    <row r="2" spans="2:21" ht="21.75" x14ac:dyDescent="0.2">
      <c r="B2" s="5" t="s">
        <v>200</v>
      </c>
      <c r="C2" s="6" t="s">
        <v>230</v>
      </c>
      <c r="D2" s="8" t="s">
        <v>201</v>
      </c>
      <c r="E2" s="9"/>
      <c r="F2" s="9"/>
      <c r="G2" s="10"/>
      <c r="H2" s="8" t="s">
        <v>202</v>
      </c>
      <c r="I2" s="9"/>
      <c r="J2" s="10"/>
      <c r="K2" s="8" t="s">
        <v>203</v>
      </c>
      <c r="L2" s="9"/>
      <c r="M2" s="9"/>
      <c r="N2" s="9"/>
      <c r="O2" s="9"/>
      <c r="P2" s="10"/>
      <c r="Q2" s="23" t="s">
        <v>247</v>
      </c>
      <c r="R2" s="24" t="s">
        <v>248</v>
      </c>
      <c r="S2" s="24"/>
      <c r="T2" s="24"/>
      <c r="U2" s="24"/>
    </row>
    <row r="3" spans="2:21" ht="21.75" x14ac:dyDescent="0.5">
      <c r="B3" s="7">
        <v>1</v>
      </c>
      <c r="C3" s="19" t="s">
        <v>243</v>
      </c>
      <c r="D3" s="11" t="s">
        <v>204</v>
      </c>
      <c r="E3" s="12"/>
      <c r="F3" s="12"/>
      <c r="G3" s="13"/>
      <c r="H3" s="11"/>
      <c r="I3" s="12"/>
      <c r="J3" s="13"/>
      <c r="K3" s="14" t="s">
        <v>205</v>
      </c>
      <c r="L3" s="15"/>
      <c r="M3" s="15"/>
      <c r="N3" s="15"/>
      <c r="O3" s="15"/>
      <c r="P3" s="16"/>
      <c r="Q3" s="23"/>
      <c r="R3" s="24"/>
      <c r="S3" s="24"/>
      <c r="T3" s="24"/>
      <c r="U3" s="24"/>
    </row>
    <row r="4" spans="2:21" ht="21.75" x14ac:dyDescent="0.5">
      <c r="B4" s="7">
        <v>2</v>
      </c>
      <c r="C4" s="22"/>
      <c r="D4" s="11" t="s">
        <v>206</v>
      </c>
      <c r="E4" s="12"/>
      <c r="F4" s="12"/>
      <c r="G4" s="13"/>
      <c r="H4" s="11"/>
      <c r="I4" s="12"/>
      <c r="J4" s="13"/>
      <c r="K4" s="14" t="s">
        <v>205</v>
      </c>
      <c r="L4" s="15"/>
      <c r="M4" s="15"/>
      <c r="N4" s="15"/>
      <c r="O4" s="15"/>
      <c r="P4" s="16"/>
      <c r="Q4" s="23"/>
      <c r="R4" s="24"/>
      <c r="S4" s="24"/>
      <c r="T4" s="24"/>
      <c r="U4" s="24"/>
    </row>
    <row r="5" spans="2:21" ht="21.75" x14ac:dyDescent="0.5">
      <c r="B5" s="7">
        <v>3</v>
      </c>
      <c r="C5" s="22"/>
      <c r="D5" s="11" t="s">
        <v>207</v>
      </c>
      <c r="E5" s="12"/>
      <c r="F5" s="12"/>
      <c r="G5" s="13"/>
      <c r="H5" s="11"/>
      <c r="I5" s="12"/>
      <c r="J5" s="13"/>
      <c r="K5" s="14" t="s">
        <v>205</v>
      </c>
      <c r="L5" s="15"/>
      <c r="M5" s="15"/>
      <c r="N5" s="15"/>
      <c r="O5" s="15"/>
      <c r="P5" s="16"/>
      <c r="Q5" s="23"/>
      <c r="R5" s="24"/>
      <c r="S5" s="24"/>
      <c r="T5" s="24"/>
      <c r="U5" s="24"/>
    </row>
    <row r="6" spans="2:21" ht="21.75" x14ac:dyDescent="0.5">
      <c r="B6" s="7">
        <v>4</v>
      </c>
      <c r="C6" s="22"/>
      <c r="D6" s="11" t="s">
        <v>208</v>
      </c>
      <c r="E6" s="12"/>
      <c r="F6" s="12"/>
      <c r="G6" s="13"/>
      <c r="H6" s="11"/>
      <c r="I6" s="12"/>
      <c r="J6" s="13"/>
      <c r="K6" s="14" t="s">
        <v>205</v>
      </c>
      <c r="L6" s="15"/>
      <c r="M6" s="15"/>
      <c r="N6" s="15"/>
      <c r="O6" s="15"/>
      <c r="P6" s="16"/>
      <c r="Q6" s="23"/>
      <c r="R6" s="24"/>
      <c r="S6" s="24"/>
      <c r="T6" s="24"/>
      <c r="U6" s="24"/>
    </row>
    <row r="7" spans="2:21" ht="21.75" x14ac:dyDescent="0.5">
      <c r="B7" s="7">
        <v>6</v>
      </c>
      <c r="C7" s="22"/>
      <c r="D7" s="11" t="s">
        <v>209</v>
      </c>
      <c r="E7" s="12"/>
      <c r="F7" s="12"/>
      <c r="G7" s="13"/>
      <c r="H7" s="11"/>
      <c r="I7" s="12"/>
      <c r="J7" s="13"/>
      <c r="K7" s="14" t="s">
        <v>205</v>
      </c>
      <c r="L7" s="15"/>
      <c r="M7" s="15"/>
      <c r="N7" s="15"/>
      <c r="O7" s="15"/>
      <c r="P7" s="16"/>
      <c r="Q7" s="23"/>
      <c r="R7" s="24"/>
      <c r="S7" s="24"/>
      <c r="T7" s="24"/>
      <c r="U7" s="24"/>
    </row>
    <row r="8" spans="2:21" ht="21.75" x14ac:dyDescent="0.5">
      <c r="B8" s="7">
        <v>7</v>
      </c>
      <c r="C8" s="22"/>
      <c r="D8" s="11" t="s">
        <v>210</v>
      </c>
      <c r="E8" s="12"/>
      <c r="F8" s="12"/>
      <c r="G8" s="13"/>
      <c r="H8" s="11"/>
      <c r="I8" s="12"/>
      <c r="J8" s="13"/>
      <c r="K8" s="14" t="s">
        <v>205</v>
      </c>
      <c r="L8" s="15"/>
      <c r="M8" s="15"/>
      <c r="N8" s="15"/>
      <c r="O8" s="15"/>
      <c r="P8" s="16"/>
      <c r="Q8" s="23"/>
      <c r="R8" s="24"/>
      <c r="S8" s="24"/>
      <c r="T8" s="24"/>
      <c r="U8" s="24"/>
    </row>
    <row r="9" spans="2:21" ht="21.75" x14ac:dyDescent="0.5">
      <c r="B9" s="7">
        <v>8</v>
      </c>
      <c r="C9" s="22"/>
      <c r="D9" s="11" t="s">
        <v>211</v>
      </c>
      <c r="E9" s="12"/>
      <c r="F9" s="12"/>
      <c r="G9" s="13"/>
      <c r="H9" s="11"/>
      <c r="I9" s="12"/>
      <c r="J9" s="13"/>
      <c r="K9" s="14" t="s">
        <v>205</v>
      </c>
      <c r="L9" s="15"/>
      <c r="M9" s="15"/>
      <c r="N9" s="15"/>
      <c r="O9" s="15"/>
      <c r="P9" s="16"/>
      <c r="Q9" s="23"/>
      <c r="R9" s="24"/>
      <c r="S9" s="24"/>
      <c r="T9" s="24"/>
      <c r="U9" s="24"/>
    </row>
    <row r="10" spans="2:21" ht="21.75" x14ac:dyDescent="0.5">
      <c r="B10" s="7">
        <v>9</v>
      </c>
      <c r="C10" s="22"/>
      <c r="D10" s="11" t="s">
        <v>212</v>
      </c>
      <c r="E10" s="12"/>
      <c r="F10" s="12"/>
      <c r="G10" s="13"/>
      <c r="H10" s="11"/>
      <c r="I10" s="12"/>
      <c r="J10" s="13"/>
      <c r="K10" s="14" t="s">
        <v>205</v>
      </c>
      <c r="L10" s="15"/>
      <c r="M10" s="15"/>
      <c r="N10" s="15"/>
      <c r="O10" s="15"/>
      <c r="P10" s="16"/>
      <c r="Q10" s="23"/>
      <c r="R10" s="24"/>
      <c r="S10" s="24"/>
      <c r="T10" s="24"/>
      <c r="U10" s="24"/>
    </row>
    <row r="11" spans="2:21" ht="21.75" x14ac:dyDescent="0.5">
      <c r="B11" s="7">
        <v>12</v>
      </c>
      <c r="C11" s="22"/>
      <c r="D11" s="11" t="s">
        <v>213</v>
      </c>
      <c r="E11" s="12"/>
      <c r="F11" s="12"/>
      <c r="G11" s="13"/>
      <c r="H11" s="11"/>
      <c r="I11" s="12"/>
      <c r="J11" s="13"/>
      <c r="K11" s="14" t="s">
        <v>205</v>
      </c>
      <c r="L11" s="15"/>
      <c r="M11" s="15"/>
      <c r="N11" s="15"/>
      <c r="O11" s="15"/>
      <c r="P11" s="16"/>
      <c r="Q11" s="23"/>
      <c r="R11" s="24"/>
      <c r="S11" s="24"/>
      <c r="T11" s="24"/>
      <c r="U11" s="24"/>
    </row>
    <row r="12" spans="2:21" ht="21.75" x14ac:dyDescent="0.5">
      <c r="B12" s="7">
        <v>18</v>
      </c>
      <c r="C12" s="20"/>
      <c r="D12" s="11" t="s">
        <v>214</v>
      </c>
      <c r="E12" s="12"/>
      <c r="F12" s="12"/>
      <c r="G12" s="13"/>
      <c r="H12" s="11"/>
      <c r="I12" s="12"/>
      <c r="J12" s="13"/>
      <c r="K12" s="14" t="s">
        <v>215</v>
      </c>
      <c r="L12" s="15"/>
      <c r="M12" s="15"/>
      <c r="N12" s="15"/>
      <c r="O12" s="15"/>
      <c r="P12" s="16"/>
      <c r="Q12" s="23"/>
      <c r="R12" s="24"/>
      <c r="S12" s="24"/>
      <c r="T12" s="24"/>
      <c r="U12" s="24"/>
    </row>
    <row r="13" spans="2:21" ht="21.75" x14ac:dyDescent="0.5">
      <c r="B13" s="7">
        <v>19</v>
      </c>
      <c r="C13" s="19" t="s">
        <v>244</v>
      </c>
      <c r="D13" s="11" t="s">
        <v>250</v>
      </c>
      <c r="E13" s="12"/>
      <c r="F13" s="12"/>
      <c r="G13" s="13"/>
      <c r="H13" s="11"/>
      <c r="I13" s="12"/>
      <c r="J13" s="13"/>
      <c r="K13" s="14" t="s">
        <v>216</v>
      </c>
      <c r="L13" s="15"/>
      <c r="M13" s="15"/>
      <c r="N13" s="15"/>
      <c r="O13" s="15"/>
      <c r="P13" s="16"/>
      <c r="Q13" s="23"/>
      <c r="R13" s="24"/>
      <c r="S13" s="24"/>
      <c r="T13" s="24"/>
      <c r="U13" s="24"/>
    </row>
    <row r="14" spans="2:21" ht="21.75" x14ac:dyDescent="0.5">
      <c r="B14" s="7">
        <v>20</v>
      </c>
      <c r="C14" s="22"/>
      <c r="D14" s="11" t="s">
        <v>251</v>
      </c>
      <c r="E14" s="12"/>
      <c r="F14" s="12"/>
      <c r="G14" s="13"/>
      <c r="H14" s="11"/>
      <c r="I14" s="12"/>
      <c r="J14" s="13"/>
      <c r="K14" s="14" t="s">
        <v>216</v>
      </c>
      <c r="L14" s="15"/>
      <c r="M14" s="15"/>
      <c r="N14" s="15"/>
      <c r="O14" s="15"/>
      <c r="P14" s="16"/>
      <c r="Q14" s="23"/>
      <c r="R14" s="24"/>
      <c r="S14" s="24"/>
      <c r="T14" s="24"/>
      <c r="U14" s="24"/>
    </row>
    <row r="15" spans="2:21" ht="21.75" x14ac:dyDescent="0.5">
      <c r="B15" s="7">
        <v>21</v>
      </c>
      <c r="C15" s="22"/>
      <c r="D15" s="11" t="s">
        <v>252</v>
      </c>
      <c r="E15" s="12"/>
      <c r="F15" s="12"/>
      <c r="G15" s="13"/>
      <c r="H15" s="11"/>
      <c r="I15" s="12"/>
      <c r="J15" s="13"/>
      <c r="K15" s="14" t="s">
        <v>205</v>
      </c>
      <c r="L15" s="15"/>
      <c r="M15" s="15"/>
      <c r="N15" s="15"/>
      <c r="O15" s="15"/>
      <c r="P15" s="16"/>
      <c r="Q15" s="23"/>
      <c r="R15" s="24"/>
      <c r="S15" s="24"/>
      <c r="T15" s="24"/>
      <c r="U15" s="24"/>
    </row>
    <row r="16" spans="2:21" ht="21.75" x14ac:dyDescent="0.5">
      <c r="B16" s="7">
        <v>22</v>
      </c>
      <c r="C16" s="22"/>
      <c r="D16" s="11" t="s">
        <v>253</v>
      </c>
      <c r="E16" s="12"/>
      <c r="F16" s="12"/>
      <c r="G16" s="13"/>
      <c r="H16" s="11"/>
      <c r="I16" s="12"/>
      <c r="J16" s="13"/>
      <c r="K16" s="14" t="s">
        <v>216</v>
      </c>
      <c r="L16" s="15"/>
      <c r="M16" s="15"/>
      <c r="N16" s="15"/>
      <c r="O16" s="15"/>
      <c r="P16" s="16"/>
      <c r="Q16" s="23"/>
      <c r="R16" s="24"/>
      <c r="S16" s="24"/>
      <c r="T16" s="24"/>
      <c r="U16" s="24"/>
    </row>
    <row r="17" spans="2:21" ht="21.75" x14ac:dyDescent="0.5">
      <c r="B17" s="7">
        <v>23</v>
      </c>
      <c r="C17" s="22"/>
      <c r="D17" s="11" t="s">
        <v>254</v>
      </c>
      <c r="E17" s="12"/>
      <c r="F17" s="12"/>
      <c r="G17" s="13"/>
      <c r="H17" s="11"/>
      <c r="I17" s="12"/>
      <c r="J17" s="13"/>
      <c r="K17" s="14" t="s">
        <v>216</v>
      </c>
      <c r="L17" s="15"/>
      <c r="M17" s="15"/>
      <c r="N17" s="15"/>
      <c r="O17" s="15"/>
      <c r="P17" s="16"/>
      <c r="Q17" s="23"/>
      <c r="R17" s="24"/>
      <c r="S17" s="24"/>
      <c r="T17" s="24"/>
      <c r="U17" s="24"/>
    </row>
    <row r="18" spans="2:21" ht="21.75" x14ac:dyDescent="0.5">
      <c r="B18" s="7">
        <v>24</v>
      </c>
      <c r="C18" s="22"/>
      <c r="D18" s="11" t="s">
        <v>255</v>
      </c>
      <c r="E18" s="12"/>
      <c r="F18" s="12"/>
      <c r="G18" s="13"/>
      <c r="H18" s="11"/>
      <c r="I18" s="12"/>
      <c r="J18" s="13"/>
      <c r="K18" s="14" t="s">
        <v>216</v>
      </c>
      <c r="L18" s="15"/>
      <c r="M18" s="15"/>
      <c r="N18" s="15"/>
      <c r="O18" s="15"/>
      <c r="P18" s="16"/>
      <c r="Q18" s="23"/>
      <c r="R18" s="24"/>
      <c r="S18" s="24"/>
      <c r="T18" s="24"/>
      <c r="U18" s="24"/>
    </row>
    <row r="19" spans="2:21" ht="21.75" x14ac:dyDescent="0.5">
      <c r="B19" s="7">
        <v>25</v>
      </c>
      <c r="C19" s="22"/>
      <c r="D19" s="11" t="s">
        <v>256</v>
      </c>
      <c r="E19" s="12"/>
      <c r="F19" s="12"/>
      <c r="G19" s="13"/>
      <c r="H19" s="11"/>
      <c r="I19" s="12"/>
      <c r="J19" s="13"/>
      <c r="K19" s="14" t="s">
        <v>205</v>
      </c>
      <c r="L19" s="15"/>
      <c r="M19" s="15"/>
      <c r="N19" s="15"/>
      <c r="O19" s="15"/>
      <c r="P19" s="16"/>
      <c r="Q19" s="23"/>
      <c r="R19" s="24"/>
      <c r="S19" s="24"/>
      <c r="T19" s="24"/>
      <c r="U19" s="24"/>
    </row>
    <row r="20" spans="2:21" ht="21.75" x14ac:dyDescent="0.5">
      <c r="B20" s="7">
        <v>26</v>
      </c>
      <c r="C20" s="22"/>
      <c r="D20" s="11" t="s">
        <v>261</v>
      </c>
      <c r="E20" s="12"/>
      <c r="F20" s="12"/>
      <c r="G20" s="13"/>
      <c r="H20" s="11"/>
      <c r="I20" s="12"/>
      <c r="J20" s="13"/>
      <c r="K20" s="14" t="s">
        <v>216</v>
      </c>
      <c r="L20" s="15"/>
      <c r="M20" s="15"/>
      <c r="N20" s="15"/>
      <c r="O20" s="15"/>
      <c r="P20" s="16"/>
      <c r="Q20" s="23"/>
      <c r="R20" s="24"/>
      <c r="S20" s="24"/>
      <c r="T20" s="24"/>
      <c r="U20" s="24"/>
    </row>
    <row r="21" spans="2:21" ht="21.75" x14ac:dyDescent="0.5">
      <c r="B21" s="7">
        <v>23</v>
      </c>
      <c r="C21" s="22"/>
      <c r="D21" s="11" t="s">
        <v>257</v>
      </c>
      <c r="E21" s="12"/>
      <c r="F21" s="12"/>
      <c r="G21" s="13"/>
      <c r="H21" s="11"/>
      <c r="I21" s="12"/>
      <c r="J21" s="13"/>
      <c r="K21" s="14" t="s">
        <v>216</v>
      </c>
      <c r="L21" s="15"/>
      <c r="M21" s="15"/>
      <c r="N21" s="15"/>
      <c r="O21" s="15"/>
      <c r="P21" s="16"/>
      <c r="Q21" s="23"/>
      <c r="R21" s="24"/>
      <c r="S21" s="24"/>
      <c r="T21" s="24"/>
      <c r="U21" s="24"/>
    </row>
    <row r="22" spans="2:21" ht="21.75" x14ac:dyDescent="0.5">
      <c r="B22" s="7">
        <v>24</v>
      </c>
      <c r="C22" s="22"/>
      <c r="D22" s="11" t="s">
        <v>258</v>
      </c>
      <c r="E22" s="12"/>
      <c r="F22" s="12"/>
      <c r="G22" s="13"/>
      <c r="H22" s="11"/>
      <c r="I22" s="12"/>
      <c r="J22" s="13"/>
      <c r="K22" s="14" t="s">
        <v>216</v>
      </c>
      <c r="L22" s="15"/>
      <c r="M22" s="15"/>
      <c r="N22" s="15"/>
      <c r="O22" s="15"/>
      <c r="P22" s="16"/>
      <c r="Q22" s="23"/>
      <c r="R22" s="24"/>
      <c r="S22" s="24"/>
      <c r="T22" s="24"/>
      <c r="U22" s="24"/>
    </row>
    <row r="23" spans="2:21" ht="21.75" x14ac:dyDescent="0.5">
      <c r="B23" s="7">
        <v>25</v>
      </c>
      <c r="C23" s="22"/>
      <c r="D23" s="11" t="s">
        <v>259</v>
      </c>
      <c r="E23" s="12"/>
      <c r="F23" s="12"/>
      <c r="G23" s="13"/>
      <c r="H23" s="11"/>
      <c r="I23" s="12"/>
      <c r="J23" s="13"/>
      <c r="K23" s="14" t="s">
        <v>205</v>
      </c>
      <c r="L23" s="15"/>
      <c r="M23" s="15"/>
      <c r="N23" s="15"/>
      <c r="O23" s="15"/>
      <c r="P23" s="16"/>
      <c r="Q23" s="23"/>
      <c r="R23" s="24"/>
      <c r="S23" s="24"/>
      <c r="T23" s="24"/>
      <c r="U23" s="24"/>
    </row>
    <row r="24" spans="2:21" ht="21.75" x14ac:dyDescent="0.5">
      <c r="B24" s="7">
        <v>26</v>
      </c>
      <c r="C24" s="22"/>
      <c r="D24" s="11" t="s">
        <v>260</v>
      </c>
      <c r="E24" s="12"/>
      <c r="F24" s="12"/>
      <c r="G24" s="13"/>
      <c r="H24" s="11"/>
      <c r="I24" s="12"/>
      <c r="J24" s="13"/>
      <c r="K24" s="14" t="s">
        <v>216</v>
      </c>
      <c r="L24" s="15"/>
      <c r="M24" s="15"/>
      <c r="N24" s="15"/>
      <c r="O24" s="15"/>
      <c r="P24" s="16"/>
      <c r="Q24" s="23"/>
      <c r="R24" s="24"/>
      <c r="S24" s="24"/>
      <c r="T24" s="24"/>
      <c r="U24" s="24"/>
    </row>
    <row r="25" spans="2:21" ht="21.75" x14ac:dyDescent="0.5">
      <c r="B25" s="7">
        <v>27</v>
      </c>
      <c r="C25" s="22"/>
      <c r="D25" s="11" t="s">
        <v>217</v>
      </c>
      <c r="E25" s="12"/>
      <c r="F25" s="12"/>
      <c r="G25" s="13"/>
      <c r="H25" s="11"/>
      <c r="I25" s="12"/>
      <c r="J25" s="13"/>
      <c r="K25" s="14" t="s">
        <v>262</v>
      </c>
      <c r="L25" s="15"/>
      <c r="M25" s="15"/>
      <c r="N25" s="15"/>
      <c r="O25" s="15"/>
      <c r="P25" s="16"/>
      <c r="Q25" s="23"/>
      <c r="R25" s="24"/>
      <c r="S25" s="24"/>
      <c r="T25" s="24"/>
      <c r="U25" s="24"/>
    </row>
    <row r="26" spans="2:21" ht="21.75" x14ac:dyDescent="0.5">
      <c r="B26" s="7">
        <v>28</v>
      </c>
      <c r="C26" s="22"/>
      <c r="D26" s="11" t="s">
        <v>224</v>
      </c>
      <c r="E26" s="12"/>
      <c r="F26" s="12"/>
      <c r="G26" s="13"/>
      <c r="H26" s="11"/>
      <c r="I26" s="12"/>
      <c r="J26" s="13"/>
      <c r="K26" s="14"/>
      <c r="L26" s="15"/>
      <c r="M26" s="15"/>
      <c r="N26" s="15"/>
      <c r="O26" s="15"/>
      <c r="P26" s="16"/>
      <c r="Q26" s="23"/>
      <c r="R26" s="24" t="s">
        <v>263</v>
      </c>
      <c r="S26" s="24"/>
      <c r="T26" s="24"/>
      <c r="U26" s="24"/>
    </row>
    <row r="27" spans="2:21" ht="21.75" x14ac:dyDescent="0.5">
      <c r="B27" s="7">
        <v>29</v>
      </c>
      <c r="C27" s="22"/>
      <c r="D27" s="11" t="s">
        <v>225</v>
      </c>
      <c r="E27" s="12"/>
      <c r="F27" s="12"/>
      <c r="G27" s="13"/>
      <c r="H27" s="11"/>
      <c r="I27" s="12"/>
      <c r="J27" s="13"/>
      <c r="K27" s="14"/>
      <c r="L27" s="15"/>
      <c r="M27" s="15"/>
      <c r="N27" s="15"/>
      <c r="O27" s="15"/>
      <c r="P27" s="16"/>
      <c r="Q27" s="23"/>
      <c r="R27" s="24" t="s">
        <v>263</v>
      </c>
      <c r="S27" s="24"/>
      <c r="T27" s="24"/>
      <c r="U27" s="24"/>
    </row>
    <row r="28" spans="2:21" ht="21.75" x14ac:dyDescent="0.5">
      <c r="B28" s="7">
        <v>30</v>
      </c>
      <c r="C28" s="22"/>
      <c r="D28" s="11" t="s">
        <v>226</v>
      </c>
      <c r="E28" s="12"/>
      <c r="F28" s="12"/>
      <c r="G28" s="13"/>
      <c r="H28" s="11"/>
      <c r="I28" s="12"/>
      <c r="J28" s="13"/>
      <c r="K28" s="14" t="s">
        <v>218</v>
      </c>
      <c r="L28" s="15"/>
      <c r="M28" s="15"/>
      <c r="N28" s="15"/>
      <c r="O28" s="15"/>
      <c r="P28" s="16"/>
      <c r="Q28" s="23"/>
      <c r="R28" s="24" t="s">
        <v>264</v>
      </c>
      <c r="S28" s="24"/>
      <c r="T28" s="24"/>
      <c r="U28" s="24"/>
    </row>
    <row r="29" spans="2:21" ht="21.75" x14ac:dyDescent="0.5">
      <c r="B29" s="7">
        <v>31</v>
      </c>
      <c r="C29" s="22"/>
      <c r="D29" s="11" t="s">
        <v>227</v>
      </c>
      <c r="E29" s="12"/>
      <c r="F29" s="12"/>
      <c r="G29" s="13"/>
      <c r="H29" s="11"/>
      <c r="I29" s="12"/>
      <c r="J29" s="13"/>
      <c r="K29" s="14" t="s">
        <v>219</v>
      </c>
      <c r="L29" s="15"/>
      <c r="M29" s="15"/>
      <c r="N29" s="15"/>
      <c r="O29" s="15"/>
      <c r="P29" s="16"/>
      <c r="Q29" s="23"/>
      <c r="R29" s="24" t="s">
        <v>265</v>
      </c>
      <c r="S29" s="24"/>
      <c r="T29" s="24"/>
      <c r="U29" s="24"/>
    </row>
    <row r="30" spans="2:21" ht="21.75" x14ac:dyDescent="0.5">
      <c r="B30" s="7">
        <v>32</v>
      </c>
      <c r="C30" s="22"/>
      <c r="D30" s="11" t="s">
        <v>228</v>
      </c>
      <c r="E30" s="12"/>
      <c r="F30" s="12"/>
      <c r="G30" s="13"/>
      <c r="H30" s="11"/>
      <c r="I30" s="12"/>
      <c r="J30" s="13"/>
      <c r="K30" s="14" t="s">
        <v>205</v>
      </c>
      <c r="L30" s="15"/>
      <c r="M30" s="15"/>
      <c r="N30" s="15"/>
      <c r="O30" s="15"/>
      <c r="P30" s="16"/>
      <c r="Q30" s="23"/>
      <c r="R30" s="24"/>
      <c r="S30" s="24"/>
      <c r="T30" s="24"/>
      <c r="U30" s="24"/>
    </row>
    <row r="31" spans="2:21" ht="21.75" x14ac:dyDescent="0.5">
      <c r="B31" s="7">
        <v>33</v>
      </c>
      <c r="C31" s="20"/>
      <c r="D31" s="11" t="s">
        <v>229</v>
      </c>
      <c r="E31" s="12"/>
      <c r="F31" s="12"/>
      <c r="G31" s="13"/>
      <c r="H31" s="11"/>
      <c r="I31" s="12"/>
      <c r="J31" s="13"/>
      <c r="K31" s="14"/>
      <c r="L31" s="15"/>
      <c r="M31" s="15"/>
      <c r="N31" s="15"/>
      <c r="O31" s="15"/>
      <c r="P31" s="16"/>
      <c r="Q31" s="23"/>
      <c r="R31" s="24" t="s">
        <v>263</v>
      </c>
      <c r="S31" s="24"/>
      <c r="T31" s="24"/>
      <c r="U31" s="24"/>
    </row>
    <row r="32" spans="2:21" ht="21.75" x14ac:dyDescent="0.5">
      <c r="B32" s="7">
        <v>34</v>
      </c>
      <c r="C32" s="19" t="s">
        <v>245</v>
      </c>
      <c r="D32" s="11" t="s">
        <v>220</v>
      </c>
      <c r="E32" s="12"/>
      <c r="F32" s="12"/>
      <c r="G32" s="13"/>
      <c r="H32" s="11"/>
      <c r="I32" s="12"/>
      <c r="J32" s="13"/>
      <c r="K32" s="14" t="s">
        <v>205</v>
      </c>
      <c r="L32" s="15"/>
      <c r="M32" s="15"/>
      <c r="N32" s="15"/>
      <c r="O32" s="15"/>
      <c r="P32" s="16"/>
      <c r="Q32" s="23"/>
      <c r="R32" s="24"/>
      <c r="S32" s="24"/>
      <c r="T32" s="24"/>
      <c r="U32" s="24"/>
    </row>
    <row r="33" spans="2:21" ht="21.75" x14ac:dyDescent="0.5">
      <c r="B33" s="7">
        <v>35</v>
      </c>
      <c r="C33" s="22"/>
      <c r="D33" s="11" t="s">
        <v>221</v>
      </c>
      <c r="E33" s="12"/>
      <c r="F33" s="12"/>
      <c r="G33" s="13"/>
      <c r="H33" s="11"/>
      <c r="I33" s="12"/>
      <c r="J33" s="13"/>
      <c r="K33" s="14" t="s">
        <v>205</v>
      </c>
      <c r="L33" s="15"/>
      <c r="M33" s="15"/>
      <c r="N33" s="15"/>
      <c r="O33" s="15"/>
      <c r="P33" s="16"/>
      <c r="Q33" s="23"/>
      <c r="R33" s="24"/>
      <c r="S33" s="24"/>
      <c r="T33" s="24"/>
      <c r="U33" s="24"/>
    </row>
    <row r="34" spans="2:21" ht="21.75" customHeight="1" x14ac:dyDescent="0.2">
      <c r="B34" s="7">
        <v>36</v>
      </c>
      <c r="C34" s="22"/>
      <c r="D34" s="17" t="s">
        <v>222</v>
      </c>
      <c r="E34" s="18"/>
      <c r="F34" s="18"/>
      <c r="G34" s="21"/>
      <c r="H34" s="11"/>
      <c r="I34" s="12"/>
      <c r="J34" s="13"/>
      <c r="K34" s="11" t="s">
        <v>205</v>
      </c>
      <c r="L34" s="12"/>
      <c r="M34" s="12"/>
      <c r="N34" s="12"/>
      <c r="O34" s="12"/>
      <c r="P34" s="13"/>
      <c r="Q34" s="23"/>
      <c r="R34" s="24"/>
      <c r="S34" s="24"/>
      <c r="T34" s="24"/>
      <c r="U34" s="24"/>
    </row>
    <row r="35" spans="2:21" ht="21.75" customHeight="1" x14ac:dyDescent="0.2">
      <c r="B35" s="7">
        <v>37</v>
      </c>
      <c r="C35" s="20"/>
      <c r="D35" s="17" t="s">
        <v>223</v>
      </c>
      <c r="E35" s="18"/>
      <c r="F35" s="18"/>
      <c r="G35" s="21"/>
      <c r="H35" s="11"/>
      <c r="I35" s="12"/>
      <c r="J35" s="13"/>
      <c r="K35" s="11" t="s">
        <v>205</v>
      </c>
      <c r="L35" s="12"/>
      <c r="M35" s="12"/>
      <c r="N35" s="12"/>
      <c r="O35" s="12"/>
      <c r="P35" s="13"/>
      <c r="Q35" s="23"/>
      <c r="R35" s="24"/>
      <c r="S35" s="24"/>
      <c r="T35" s="24"/>
      <c r="U35" s="24"/>
    </row>
    <row r="36" spans="2:21" ht="21.75" customHeight="1" x14ac:dyDescent="0.2">
      <c r="B36" s="7">
        <v>38</v>
      </c>
      <c r="C36" s="19" t="s">
        <v>246</v>
      </c>
      <c r="D36" s="17" t="s">
        <v>231</v>
      </c>
      <c r="E36" s="18"/>
      <c r="F36" s="18"/>
      <c r="G36" s="21"/>
      <c r="H36" s="11"/>
      <c r="I36" s="12"/>
      <c r="J36" s="13"/>
      <c r="K36" s="11" t="s">
        <v>269</v>
      </c>
      <c r="L36" s="12"/>
      <c r="M36" s="12"/>
      <c r="N36" s="12"/>
      <c r="O36" s="12"/>
      <c r="P36" s="13"/>
      <c r="Q36" s="23"/>
      <c r="R36" s="24"/>
      <c r="S36" s="24"/>
      <c r="T36" s="24"/>
      <c r="U36" s="24"/>
    </row>
    <row r="37" spans="2:21" ht="21.75" customHeight="1" x14ac:dyDescent="0.2">
      <c r="B37" s="7">
        <v>39</v>
      </c>
      <c r="C37" s="22"/>
      <c r="D37" s="17" t="s">
        <v>232</v>
      </c>
      <c r="E37" s="18"/>
      <c r="F37" s="18"/>
      <c r="G37" s="21"/>
      <c r="H37" s="11"/>
      <c r="I37" s="12"/>
      <c r="J37" s="13"/>
      <c r="K37" s="11" t="s">
        <v>269</v>
      </c>
      <c r="L37" s="12"/>
      <c r="M37" s="12"/>
      <c r="N37" s="12"/>
      <c r="O37" s="12"/>
      <c r="P37" s="13"/>
      <c r="Q37" s="23"/>
      <c r="R37" s="24"/>
      <c r="S37" s="24"/>
      <c r="T37" s="24"/>
      <c r="U37" s="24"/>
    </row>
    <row r="38" spans="2:21" ht="21.75" customHeight="1" x14ac:dyDescent="0.2">
      <c r="B38" s="7">
        <v>40</v>
      </c>
      <c r="C38" s="22"/>
      <c r="D38" s="17" t="s">
        <v>233</v>
      </c>
      <c r="E38" s="18"/>
      <c r="F38" s="18"/>
      <c r="G38" s="21"/>
      <c r="H38" s="11"/>
      <c r="I38" s="12"/>
      <c r="J38" s="13"/>
      <c r="K38" s="11" t="s">
        <v>268</v>
      </c>
      <c r="L38" s="12"/>
      <c r="M38" s="12"/>
      <c r="N38" s="12"/>
      <c r="O38" s="12"/>
      <c r="P38" s="13"/>
      <c r="Q38" s="23"/>
      <c r="R38" s="24"/>
      <c r="S38" s="24"/>
      <c r="T38" s="24"/>
      <c r="U38" s="24"/>
    </row>
    <row r="39" spans="2:21" ht="21.75" customHeight="1" x14ac:dyDescent="0.2">
      <c r="B39" s="7">
        <v>41</v>
      </c>
      <c r="C39" s="22"/>
      <c r="D39" s="17" t="s">
        <v>234</v>
      </c>
      <c r="E39" s="18"/>
      <c r="F39" s="18"/>
      <c r="G39" s="21"/>
      <c r="H39" s="11"/>
      <c r="I39" s="12"/>
      <c r="J39" s="13"/>
      <c r="K39" s="11"/>
      <c r="L39" s="12"/>
      <c r="M39" s="12"/>
      <c r="N39" s="12"/>
      <c r="O39" s="12"/>
      <c r="P39" s="13"/>
      <c r="Q39" s="23"/>
      <c r="R39" s="24"/>
      <c r="S39" s="24"/>
      <c r="T39" s="24"/>
      <c r="U39" s="24"/>
    </row>
    <row r="40" spans="2:21" ht="21.75" customHeight="1" x14ac:dyDescent="0.2">
      <c r="B40" s="7">
        <v>42</v>
      </c>
      <c r="C40" s="22"/>
      <c r="D40" s="17" t="s">
        <v>235</v>
      </c>
      <c r="E40" s="18"/>
      <c r="F40" s="18"/>
      <c r="G40" s="21"/>
      <c r="H40" s="11"/>
      <c r="I40" s="12"/>
      <c r="J40" s="13"/>
      <c r="K40" s="11" t="s">
        <v>205</v>
      </c>
      <c r="L40" s="12"/>
      <c r="M40" s="12"/>
      <c r="N40" s="12"/>
      <c r="O40" s="12"/>
      <c r="P40" s="13"/>
      <c r="Q40" s="23"/>
      <c r="R40" s="24"/>
      <c r="S40" s="24"/>
      <c r="T40" s="24"/>
      <c r="U40" s="24"/>
    </row>
    <row r="41" spans="2:21" ht="21.75" customHeight="1" x14ac:dyDescent="0.2">
      <c r="B41" s="7">
        <v>43</v>
      </c>
      <c r="C41" s="22"/>
      <c r="D41" s="17" t="s">
        <v>236</v>
      </c>
      <c r="E41" s="18"/>
      <c r="F41" s="18"/>
      <c r="G41" s="21"/>
      <c r="H41" s="11"/>
      <c r="I41" s="12"/>
      <c r="J41" s="13"/>
      <c r="K41" s="11" t="s">
        <v>268</v>
      </c>
      <c r="L41" s="12"/>
      <c r="M41" s="12"/>
      <c r="N41" s="12"/>
      <c r="O41" s="12"/>
      <c r="P41" s="13"/>
      <c r="Q41" s="23"/>
      <c r="R41" s="24"/>
      <c r="S41" s="24"/>
      <c r="T41" s="24"/>
      <c r="U41" s="24"/>
    </row>
    <row r="42" spans="2:21" ht="21.75" customHeight="1" x14ac:dyDescent="0.2">
      <c r="B42" s="7">
        <v>44</v>
      </c>
      <c r="C42" s="22"/>
      <c r="D42" s="17" t="s">
        <v>237</v>
      </c>
      <c r="E42" s="18"/>
      <c r="F42" s="18"/>
      <c r="G42" s="21"/>
      <c r="H42" s="11"/>
      <c r="I42" s="12"/>
      <c r="J42" s="13"/>
      <c r="K42" s="11"/>
      <c r="L42" s="12"/>
      <c r="M42" s="12"/>
      <c r="N42" s="12"/>
      <c r="O42" s="12"/>
      <c r="P42" s="13"/>
      <c r="Q42" s="23"/>
      <c r="R42" s="24"/>
      <c r="S42" s="24"/>
      <c r="T42" s="24"/>
      <c r="U42" s="24"/>
    </row>
    <row r="43" spans="2:21" ht="21.75" customHeight="1" x14ac:dyDescent="0.2">
      <c r="B43" s="7">
        <v>45</v>
      </c>
      <c r="C43" s="22"/>
      <c r="D43" s="17" t="s">
        <v>238</v>
      </c>
      <c r="E43" s="18"/>
      <c r="F43" s="18"/>
      <c r="G43" s="21"/>
      <c r="H43" s="11"/>
      <c r="I43" s="12"/>
      <c r="J43" s="13"/>
      <c r="K43" s="11" t="s">
        <v>268</v>
      </c>
      <c r="L43" s="12"/>
      <c r="M43" s="12"/>
      <c r="N43" s="12"/>
      <c r="O43" s="12"/>
      <c r="P43" s="13"/>
      <c r="Q43" s="23"/>
      <c r="R43" s="24"/>
      <c r="S43" s="24"/>
      <c r="T43" s="24"/>
      <c r="U43" s="24"/>
    </row>
    <row r="44" spans="2:21" ht="21.75" customHeight="1" x14ac:dyDescent="0.2">
      <c r="B44" s="7">
        <v>46</v>
      </c>
      <c r="C44" s="22"/>
      <c r="D44" s="17" t="s">
        <v>239</v>
      </c>
      <c r="E44" s="18"/>
      <c r="F44" s="18"/>
      <c r="G44" s="21"/>
      <c r="H44" s="11"/>
      <c r="I44" s="12"/>
      <c r="J44" s="13"/>
      <c r="K44" s="11" t="s">
        <v>205</v>
      </c>
      <c r="L44" s="12"/>
      <c r="M44" s="12"/>
      <c r="N44" s="12"/>
      <c r="O44" s="12"/>
      <c r="P44" s="13"/>
      <c r="Q44" s="23"/>
      <c r="R44" s="24"/>
      <c r="S44" s="24"/>
      <c r="T44" s="24"/>
      <c r="U44" s="24"/>
    </row>
    <row r="45" spans="2:21" ht="21.75" customHeight="1" x14ac:dyDescent="0.2">
      <c r="B45" s="7">
        <v>47</v>
      </c>
      <c r="C45" s="20"/>
      <c r="D45" s="17" t="s">
        <v>240</v>
      </c>
      <c r="E45" s="18"/>
      <c r="F45" s="18"/>
      <c r="G45" s="21"/>
      <c r="H45" s="11"/>
      <c r="I45" s="12"/>
      <c r="J45" s="13"/>
      <c r="K45" s="11" t="s">
        <v>205</v>
      </c>
      <c r="L45" s="12"/>
      <c r="M45" s="12"/>
      <c r="N45" s="12"/>
      <c r="O45" s="12"/>
      <c r="P45" s="13"/>
      <c r="Q45" s="23"/>
      <c r="R45" s="24"/>
      <c r="S45" s="24"/>
      <c r="T45" s="24"/>
      <c r="U45" s="24"/>
    </row>
    <row r="46" spans="2:21" ht="21.75" customHeight="1" x14ac:dyDescent="0.2">
      <c r="B46" s="7">
        <v>48</v>
      </c>
      <c r="C46" s="19" t="s">
        <v>249</v>
      </c>
      <c r="D46" s="17" t="s">
        <v>241</v>
      </c>
      <c r="E46" s="18"/>
      <c r="F46" s="18"/>
      <c r="G46" s="21"/>
      <c r="H46" s="11"/>
      <c r="I46" s="12"/>
      <c r="J46" s="13"/>
      <c r="K46" s="11" t="s">
        <v>266</v>
      </c>
      <c r="L46" s="12"/>
      <c r="M46" s="12"/>
      <c r="N46" s="12"/>
      <c r="O46" s="12"/>
      <c r="P46" s="13"/>
      <c r="Q46" s="23"/>
      <c r="R46" s="24"/>
      <c r="S46" s="24"/>
      <c r="T46" s="24"/>
      <c r="U46" s="24"/>
    </row>
    <row r="47" spans="2:21" ht="21.75" customHeight="1" x14ac:dyDescent="0.2">
      <c r="B47" s="7">
        <v>49</v>
      </c>
      <c r="C47" s="20"/>
      <c r="D47" s="17" t="s">
        <v>242</v>
      </c>
      <c r="E47" s="18"/>
      <c r="F47" s="18"/>
      <c r="G47" s="21"/>
      <c r="H47" s="11"/>
      <c r="I47" s="12"/>
      <c r="J47" s="13"/>
      <c r="K47" s="11" t="s">
        <v>267</v>
      </c>
      <c r="L47" s="12"/>
      <c r="M47" s="12"/>
      <c r="N47" s="12"/>
      <c r="O47" s="12"/>
      <c r="P47" s="13"/>
      <c r="Q47" s="23"/>
      <c r="R47" s="24"/>
      <c r="S47" s="24"/>
      <c r="T47" s="24"/>
      <c r="U47" s="24"/>
    </row>
  </sheetData>
  <mergeCells count="189">
    <mergeCell ref="C36:C45"/>
    <mergeCell ref="C46:C47"/>
    <mergeCell ref="R44:U44"/>
    <mergeCell ref="R45:U45"/>
    <mergeCell ref="R46:U46"/>
    <mergeCell ref="R47:U47"/>
    <mergeCell ref="R32:U32"/>
    <mergeCell ref="R33:U33"/>
    <mergeCell ref="R34:U34"/>
    <mergeCell ref="R35:U35"/>
    <mergeCell ref="R36:U36"/>
    <mergeCell ref="R37:U37"/>
    <mergeCell ref="R20:U20"/>
    <mergeCell ref="R21:U21"/>
    <mergeCell ref="R22:U22"/>
    <mergeCell ref="R23:U23"/>
    <mergeCell ref="R24:U24"/>
    <mergeCell ref="R25:U25"/>
    <mergeCell ref="R8:U8"/>
    <mergeCell ref="R9:U9"/>
    <mergeCell ref="R10:U10"/>
    <mergeCell ref="R11:U11"/>
    <mergeCell ref="R12:U12"/>
    <mergeCell ref="R13:U13"/>
    <mergeCell ref="R3:U3"/>
    <mergeCell ref="R4:U4"/>
    <mergeCell ref="R5:U5"/>
    <mergeCell ref="R6:U6"/>
    <mergeCell ref="R7:U7"/>
    <mergeCell ref="R40:U40"/>
    <mergeCell ref="R41:U41"/>
    <mergeCell ref="R42:U42"/>
    <mergeCell ref="R43:U43"/>
    <mergeCell ref="R38:U38"/>
    <mergeCell ref="R39:U39"/>
    <mergeCell ref="R28:U28"/>
    <mergeCell ref="R29:U29"/>
    <mergeCell ref="R30:U30"/>
    <mergeCell ref="R31:U31"/>
    <mergeCell ref="R26:U26"/>
    <mergeCell ref="R27:U27"/>
    <mergeCell ref="R16:U16"/>
    <mergeCell ref="R17:U17"/>
    <mergeCell ref="R18:U18"/>
    <mergeCell ref="R19:U19"/>
    <mergeCell ref="R14:U14"/>
    <mergeCell ref="R15:U15"/>
    <mergeCell ref="C32:C35"/>
    <mergeCell ref="R2:U2"/>
    <mergeCell ref="D47:G47"/>
    <mergeCell ref="H47:J47"/>
    <mergeCell ref="K47:P47"/>
    <mergeCell ref="D45:G45"/>
    <mergeCell ref="H45:J45"/>
    <mergeCell ref="K45:P45"/>
    <mergeCell ref="D46:G46"/>
    <mergeCell ref="H46:J46"/>
    <mergeCell ref="K46:P46"/>
    <mergeCell ref="D43:G43"/>
    <mergeCell ref="H43:J43"/>
    <mergeCell ref="K43:P43"/>
    <mergeCell ref="D44:G44"/>
    <mergeCell ref="H44:J44"/>
    <mergeCell ref="K44:P44"/>
    <mergeCell ref="D41:G41"/>
    <mergeCell ref="H41:J41"/>
    <mergeCell ref="K41:P41"/>
    <mergeCell ref="D42:G42"/>
    <mergeCell ref="H42:J42"/>
    <mergeCell ref="K42:P42"/>
    <mergeCell ref="D39:G39"/>
    <mergeCell ref="H39:J39"/>
    <mergeCell ref="K39:P39"/>
    <mergeCell ref="D40:G40"/>
    <mergeCell ref="H40:J40"/>
    <mergeCell ref="K40:P40"/>
    <mergeCell ref="D36:G36"/>
    <mergeCell ref="H36:J36"/>
    <mergeCell ref="K36:P36"/>
    <mergeCell ref="D38:G38"/>
    <mergeCell ref="H38:J38"/>
    <mergeCell ref="K38:P38"/>
    <mergeCell ref="H31:J31"/>
    <mergeCell ref="K31:P31"/>
    <mergeCell ref="H37:J37"/>
    <mergeCell ref="K37:P37"/>
    <mergeCell ref="H29:J29"/>
    <mergeCell ref="K29:P29"/>
    <mergeCell ref="H30:J30"/>
    <mergeCell ref="K30:P30"/>
    <mergeCell ref="H28:J28"/>
    <mergeCell ref="K28:P28"/>
    <mergeCell ref="H26:J26"/>
    <mergeCell ref="K26:P26"/>
    <mergeCell ref="H27:J27"/>
    <mergeCell ref="K27:P27"/>
    <mergeCell ref="H22:J22"/>
    <mergeCell ref="K22:P22"/>
    <mergeCell ref="D23:G23"/>
    <mergeCell ref="H23:J23"/>
    <mergeCell ref="K23:P23"/>
    <mergeCell ref="D24:G24"/>
    <mergeCell ref="H24:J24"/>
    <mergeCell ref="K24:P24"/>
    <mergeCell ref="D34:G34"/>
    <mergeCell ref="H34:J34"/>
    <mergeCell ref="K34:P34"/>
    <mergeCell ref="D35:G35"/>
    <mergeCell ref="H35:J35"/>
    <mergeCell ref="K35:P35"/>
    <mergeCell ref="D32:G32"/>
    <mergeCell ref="H32:J32"/>
    <mergeCell ref="K32:P32"/>
    <mergeCell ref="D33:G33"/>
    <mergeCell ref="H33:J33"/>
    <mergeCell ref="K33:P33"/>
    <mergeCell ref="D30:G30"/>
    <mergeCell ref="D31:G31"/>
    <mergeCell ref="D37:G37"/>
    <mergeCell ref="D28:G28"/>
    <mergeCell ref="D29:G29"/>
    <mergeCell ref="D26:G26"/>
    <mergeCell ref="D27:G27"/>
    <mergeCell ref="D20:G20"/>
    <mergeCell ref="H20:J20"/>
    <mergeCell ref="K20:P20"/>
    <mergeCell ref="D25:G25"/>
    <mergeCell ref="H25:J25"/>
    <mergeCell ref="K25:P25"/>
    <mergeCell ref="D21:G21"/>
    <mergeCell ref="H21:J21"/>
    <mergeCell ref="K21:P21"/>
    <mergeCell ref="D22:G22"/>
    <mergeCell ref="D18:G18"/>
    <mergeCell ref="H18:J18"/>
    <mergeCell ref="K18:P18"/>
    <mergeCell ref="D19:G19"/>
    <mergeCell ref="H19:J19"/>
    <mergeCell ref="K19:P19"/>
    <mergeCell ref="D16:G16"/>
    <mergeCell ref="H16:J16"/>
    <mergeCell ref="K16:P16"/>
    <mergeCell ref="D17:G17"/>
    <mergeCell ref="H17:J17"/>
    <mergeCell ref="K17:P17"/>
    <mergeCell ref="D14:G14"/>
    <mergeCell ref="H14:J14"/>
    <mergeCell ref="K14:P14"/>
    <mergeCell ref="D15:G15"/>
    <mergeCell ref="H15:J15"/>
    <mergeCell ref="K15:P15"/>
    <mergeCell ref="D12:G12"/>
    <mergeCell ref="H12:J12"/>
    <mergeCell ref="K12:P12"/>
    <mergeCell ref="D13:G13"/>
    <mergeCell ref="H13:J13"/>
    <mergeCell ref="K13:P13"/>
    <mergeCell ref="C3:C12"/>
    <mergeCell ref="C13:C31"/>
    <mergeCell ref="D11:G11"/>
    <mergeCell ref="H11:J11"/>
    <mergeCell ref="K11:P11"/>
    <mergeCell ref="D9:G9"/>
    <mergeCell ref="H9:J9"/>
    <mergeCell ref="K9:P9"/>
    <mergeCell ref="D10:G10"/>
    <mergeCell ref="H10:J10"/>
    <mergeCell ref="K10:P10"/>
    <mergeCell ref="D7:G7"/>
    <mergeCell ref="H7:J7"/>
    <mergeCell ref="K7:P7"/>
    <mergeCell ref="D8:G8"/>
    <mergeCell ref="H8:J8"/>
    <mergeCell ref="K8:P8"/>
    <mergeCell ref="D6:G6"/>
    <mergeCell ref="H6:J6"/>
    <mergeCell ref="K6:P6"/>
    <mergeCell ref="D4:G4"/>
    <mergeCell ref="H4:J4"/>
    <mergeCell ref="K4:P4"/>
    <mergeCell ref="D5:G5"/>
    <mergeCell ref="H5:J5"/>
    <mergeCell ref="K5:P5"/>
    <mergeCell ref="D2:G2"/>
    <mergeCell ref="H2:J2"/>
    <mergeCell ref="K2:P2"/>
    <mergeCell ref="D3:G3"/>
    <mergeCell ref="H3:J3"/>
    <mergeCell ref="K3:P3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BBC0-748C-481D-B70C-908C4D2DA7F9}">
  <dimension ref="A2:BS198"/>
  <sheetViews>
    <sheetView topLeftCell="P175" zoomScale="80" zoomScaleNormal="80" workbookViewId="0">
      <selection activeCell="L143" sqref="L143"/>
    </sheetView>
  </sheetViews>
  <sheetFormatPr defaultRowHeight="21.75" x14ac:dyDescent="0.5"/>
  <cols>
    <col min="1" max="4" width="9" style="26"/>
    <col min="5" max="5" width="20.875" style="26" bestFit="1" customWidth="1"/>
    <col min="6" max="6" width="12.25" style="26" bestFit="1" customWidth="1"/>
    <col min="7" max="7" width="9" style="26"/>
    <col min="8" max="8" width="14.625" style="26" bestFit="1" customWidth="1"/>
    <col min="9" max="9" width="9" style="26"/>
    <col min="10" max="10" width="17.875" style="26" bestFit="1" customWidth="1"/>
    <col min="11" max="11" width="9" style="26"/>
    <col min="12" max="12" width="10.25" style="26" bestFit="1" customWidth="1"/>
    <col min="13" max="13" width="9" style="26"/>
    <col min="14" max="14" width="13" style="26" bestFit="1" customWidth="1"/>
    <col min="15" max="15" width="9" style="26"/>
    <col min="16" max="16" width="12.125" style="26" bestFit="1" customWidth="1"/>
    <col min="17" max="17" width="16.375" style="26" bestFit="1" customWidth="1"/>
    <col min="18" max="18" width="9" style="26"/>
    <col min="19" max="19" width="17.75" style="26" bestFit="1" customWidth="1"/>
    <col min="20" max="21" width="9" style="26"/>
    <col min="22" max="22" width="12.375" style="26" bestFit="1" customWidth="1"/>
    <col min="23" max="23" width="16.875" style="26" bestFit="1" customWidth="1"/>
    <col min="24" max="24" width="11.625" style="26" bestFit="1" customWidth="1"/>
    <col min="25" max="32" width="9" style="26"/>
    <col min="33" max="33" width="16.625" style="26" bestFit="1" customWidth="1"/>
    <col min="34" max="38" width="9" style="26"/>
    <col min="39" max="39" width="16.75" style="26" bestFit="1" customWidth="1"/>
    <col min="40" max="63" width="9" style="26"/>
    <col min="64" max="64" width="24.25" style="26" bestFit="1" customWidth="1"/>
    <col min="65" max="16384" width="9" style="26"/>
  </cols>
  <sheetData>
    <row r="2" spans="1:64" x14ac:dyDescent="0.5">
      <c r="A2" s="25" t="s">
        <v>270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4" spans="1:64" x14ac:dyDescent="0.5">
      <c r="A4" s="27" t="s">
        <v>271</v>
      </c>
      <c r="B4" s="27"/>
      <c r="C4" s="27"/>
      <c r="D4" s="27"/>
    </row>
    <row r="5" spans="1:64" x14ac:dyDescent="0.5">
      <c r="A5" s="26" t="s">
        <v>272</v>
      </c>
    </row>
    <row r="6" spans="1:64" x14ac:dyDescent="0.5">
      <c r="A6" s="28" t="s">
        <v>273</v>
      </c>
      <c r="B6" s="28" t="s">
        <v>166</v>
      </c>
      <c r="C6" s="28" t="s">
        <v>274</v>
      </c>
      <c r="D6" s="28" t="s">
        <v>275</v>
      </c>
      <c r="E6" s="28" t="s">
        <v>276</v>
      </c>
      <c r="F6" s="28" t="s">
        <v>277</v>
      </c>
      <c r="G6" s="28" t="s">
        <v>278</v>
      </c>
      <c r="H6" s="28" t="s">
        <v>279</v>
      </c>
      <c r="I6" s="28" t="s">
        <v>280</v>
      </c>
      <c r="J6" s="28" t="s">
        <v>281</v>
      </c>
      <c r="K6" s="28" t="s">
        <v>282</v>
      </c>
      <c r="L6" s="28" t="s">
        <v>283</v>
      </c>
      <c r="M6" s="28" t="s">
        <v>284</v>
      </c>
      <c r="N6" s="28" t="s">
        <v>285</v>
      </c>
      <c r="O6" s="28" t="s">
        <v>286</v>
      </c>
      <c r="P6" s="28" t="s">
        <v>287</v>
      </c>
      <c r="Q6" s="28" t="s">
        <v>288</v>
      </c>
      <c r="R6" s="28" t="s">
        <v>289</v>
      </c>
      <c r="S6" s="28" t="s">
        <v>290</v>
      </c>
      <c r="T6" s="28" t="s">
        <v>291</v>
      </c>
      <c r="U6" s="28" t="s">
        <v>292</v>
      </c>
      <c r="V6" s="28" t="s">
        <v>293</v>
      </c>
      <c r="W6" s="28" t="s">
        <v>294</v>
      </c>
      <c r="X6" s="28" t="s">
        <v>295</v>
      </c>
      <c r="Y6" s="28" t="s">
        <v>296</v>
      </c>
      <c r="Z6" s="28" t="s">
        <v>297</v>
      </c>
      <c r="AA6" s="28" t="s">
        <v>298</v>
      </c>
      <c r="AB6" s="28" t="s">
        <v>299</v>
      </c>
      <c r="AC6" s="28" t="s">
        <v>300</v>
      </c>
      <c r="AD6" s="28" t="s">
        <v>301</v>
      </c>
      <c r="AE6" s="28" t="s">
        <v>302</v>
      </c>
      <c r="AF6" s="28" t="s">
        <v>303</v>
      </c>
      <c r="AG6" s="28" t="s">
        <v>304</v>
      </c>
      <c r="AH6" s="28" t="s">
        <v>305</v>
      </c>
      <c r="AI6" s="28" t="s">
        <v>306</v>
      </c>
      <c r="AJ6" s="28" t="s">
        <v>307</v>
      </c>
      <c r="AK6" s="28" t="s">
        <v>308</v>
      </c>
      <c r="AL6" s="28" t="s">
        <v>309</v>
      </c>
      <c r="AM6" s="28" t="s">
        <v>310</v>
      </c>
      <c r="AN6" s="28" t="s">
        <v>311</v>
      </c>
      <c r="AO6" s="28" t="s">
        <v>312</v>
      </c>
      <c r="AP6" s="28" t="s">
        <v>313</v>
      </c>
      <c r="AQ6" s="28" t="s">
        <v>314</v>
      </c>
      <c r="AR6" s="28" t="s">
        <v>315</v>
      </c>
      <c r="AS6" s="28" t="s">
        <v>316</v>
      </c>
      <c r="AT6" s="28" t="s">
        <v>317</v>
      </c>
      <c r="AU6" s="28" t="s">
        <v>318</v>
      </c>
      <c r="AV6" s="28" t="s">
        <v>319</v>
      </c>
      <c r="AW6" s="28" t="s">
        <v>320</v>
      </c>
      <c r="AX6" s="28" t="s">
        <v>321</v>
      </c>
      <c r="AY6" s="28" t="s">
        <v>322</v>
      </c>
      <c r="AZ6" s="28" t="s">
        <v>323</v>
      </c>
      <c r="BA6" s="28" t="s">
        <v>324</v>
      </c>
      <c r="BB6" s="28" t="s">
        <v>325</v>
      </c>
      <c r="BC6" s="28" t="s">
        <v>326</v>
      </c>
      <c r="BD6" s="28" t="s">
        <v>327</v>
      </c>
      <c r="BE6" s="28" t="s">
        <v>328</v>
      </c>
      <c r="BF6" s="28" t="s">
        <v>329</v>
      </c>
      <c r="BG6" s="28" t="s">
        <v>330</v>
      </c>
      <c r="BH6" s="28" t="s">
        <v>331</v>
      </c>
      <c r="BI6" s="28" t="s">
        <v>332</v>
      </c>
      <c r="BJ6" s="28" t="s">
        <v>333</v>
      </c>
      <c r="BK6" s="28" t="s">
        <v>334</v>
      </c>
      <c r="BL6" s="28" t="s">
        <v>335</v>
      </c>
    </row>
    <row r="7" spans="1:64" x14ac:dyDescent="0.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</row>
    <row r="8" spans="1:64" x14ac:dyDescent="0.5">
      <c r="A8" s="28" t="s">
        <v>336</v>
      </c>
      <c r="B8" s="28" t="s">
        <v>337</v>
      </c>
      <c r="C8" s="28" t="s">
        <v>338</v>
      </c>
      <c r="D8" s="28" t="s">
        <v>339</v>
      </c>
      <c r="E8" s="28" t="s">
        <v>109</v>
      </c>
      <c r="F8" s="28"/>
      <c r="G8" s="28"/>
      <c r="H8" s="28" t="s">
        <v>115</v>
      </c>
      <c r="I8" s="28" t="s">
        <v>340</v>
      </c>
      <c r="J8" s="28" t="s">
        <v>338</v>
      </c>
      <c r="K8" s="28"/>
      <c r="L8" s="28" t="s">
        <v>341</v>
      </c>
      <c r="M8" s="28" t="s">
        <v>342</v>
      </c>
      <c r="N8" s="28" t="s">
        <v>142</v>
      </c>
      <c r="O8" s="28" t="s">
        <v>343</v>
      </c>
      <c r="P8" s="28"/>
      <c r="Q8" s="28"/>
      <c r="R8" s="28"/>
      <c r="S8" s="28"/>
      <c r="T8" s="28"/>
      <c r="U8" s="28"/>
      <c r="V8" s="28" t="s">
        <v>344</v>
      </c>
      <c r="W8" s="28" t="s">
        <v>345</v>
      </c>
      <c r="X8" s="28" t="s">
        <v>346</v>
      </c>
      <c r="Y8" s="28" t="s">
        <v>347</v>
      </c>
      <c r="Z8" s="28"/>
      <c r="AA8" s="28"/>
      <c r="AB8" s="28"/>
      <c r="AC8" s="28"/>
      <c r="AD8" s="28" t="s">
        <v>109</v>
      </c>
      <c r="AE8" s="28"/>
      <c r="AF8" s="28"/>
      <c r="AG8" s="28" t="s">
        <v>112</v>
      </c>
      <c r="AH8" s="28" t="s">
        <v>143</v>
      </c>
      <c r="AI8" s="28"/>
      <c r="AJ8" s="28"/>
      <c r="AK8" s="28" t="s">
        <v>108</v>
      </c>
      <c r="AL8" s="28" t="s">
        <v>109</v>
      </c>
      <c r="AM8" s="28" t="s">
        <v>348</v>
      </c>
      <c r="AN8" s="28" t="s">
        <v>349</v>
      </c>
      <c r="AO8" s="28"/>
      <c r="AP8" s="28" t="s">
        <v>350</v>
      </c>
      <c r="AQ8" s="28"/>
      <c r="AR8" s="28"/>
      <c r="AS8" s="28"/>
      <c r="AT8" s="28"/>
      <c r="AU8" s="28" t="s">
        <v>142</v>
      </c>
      <c r="AV8" s="28"/>
      <c r="AW8" s="28"/>
      <c r="AX8" s="28" t="s">
        <v>340</v>
      </c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</row>
    <row r="9" spans="1:64" x14ac:dyDescent="0.5">
      <c r="A9" s="28" t="s">
        <v>351</v>
      </c>
      <c r="B9" s="28" t="s">
        <v>352</v>
      </c>
      <c r="C9" s="28" t="s">
        <v>353</v>
      </c>
      <c r="D9" s="28" t="s">
        <v>339</v>
      </c>
      <c r="E9" s="28" t="s">
        <v>109</v>
      </c>
      <c r="F9" s="28"/>
      <c r="G9" s="28"/>
      <c r="H9" s="28" t="s">
        <v>115</v>
      </c>
      <c r="I9" s="28" t="s">
        <v>340</v>
      </c>
      <c r="J9" s="28" t="s">
        <v>352</v>
      </c>
      <c r="K9" s="28"/>
      <c r="L9" s="28" t="s">
        <v>341</v>
      </c>
      <c r="M9" s="28" t="s">
        <v>354</v>
      </c>
      <c r="N9" s="28" t="s">
        <v>142</v>
      </c>
      <c r="O9" s="28" t="s">
        <v>343</v>
      </c>
      <c r="P9" s="28"/>
      <c r="Q9" s="28"/>
      <c r="R9" s="28"/>
      <c r="S9" s="28"/>
      <c r="T9" s="28"/>
      <c r="U9" s="28"/>
      <c r="V9" s="28" t="s">
        <v>355</v>
      </c>
      <c r="W9" s="28" t="s">
        <v>338</v>
      </c>
      <c r="X9" s="28" t="s">
        <v>336</v>
      </c>
      <c r="Y9" s="28"/>
      <c r="Z9" s="28"/>
      <c r="AA9" s="28"/>
      <c r="AB9" s="28"/>
      <c r="AC9" s="28"/>
      <c r="AD9" s="28" t="s">
        <v>109</v>
      </c>
      <c r="AE9" s="28"/>
      <c r="AF9" s="28"/>
      <c r="AG9" s="28" t="s">
        <v>112</v>
      </c>
      <c r="AH9" s="28" t="s">
        <v>143</v>
      </c>
      <c r="AI9" s="28"/>
      <c r="AJ9" s="28"/>
      <c r="AK9" s="28" t="s">
        <v>108</v>
      </c>
      <c r="AL9" s="28" t="s">
        <v>142</v>
      </c>
      <c r="AM9" s="28" t="s">
        <v>348</v>
      </c>
      <c r="AN9" s="28" t="s">
        <v>349</v>
      </c>
      <c r="AO9" s="28"/>
      <c r="AP9" s="28" t="s">
        <v>350</v>
      </c>
      <c r="AQ9" s="28"/>
      <c r="AR9" s="28"/>
      <c r="AS9" s="28"/>
      <c r="AT9" s="28"/>
      <c r="AU9" s="28" t="s">
        <v>142</v>
      </c>
      <c r="AV9" s="28"/>
      <c r="AW9" s="28"/>
      <c r="AX9" s="28" t="s">
        <v>340</v>
      </c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</row>
    <row r="12" spans="1:64" x14ac:dyDescent="0.5">
      <c r="A12" s="27" t="s">
        <v>356</v>
      </c>
      <c r="B12" s="27"/>
      <c r="C12" s="27"/>
      <c r="D12" s="27"/>
    </row>
    <row r="13" spans="1:64" x14ac:dyDescent="0.5">
      <c r="A13" s="26" t="s">
        <v>272</v>
      </c>
    </row>
    <row r="14" spans="1:64" x14ac:dyDescent="0.5">
      <c r="A14" s="28" t="s">
        <v>273</v>
      </c>
      <c r="B14" s="28" t="s">
        <v>166</v>
      </c>
      <c r="C14" s="28" t="s">
        <v>274</v>
      </c>
      <c r="D14" s="28" t="s">
        <v>275</v>
      </c>
      <c r="E14" s="28" t="s">
        <v>276</v>
      </c>
      <c r="F14" s="28" t="s">
        <v>277</v>
      </c>
      <c r="G14" s="28" t="s">
        <v>278</v>
      </c>
      <c r="H14" s="28" t="s">
        <v>279</v>
      </c>
      <c r="I14" s="28" t="s">
        <v>280</v>
      </c>
      <c r="J14" s="28" t="s">
        <v>281</v>
      </c>
      <c r="K14" s="28" t="s">
        <v>282</v>
      </c>
      <c r="L14" s="28" t="s">
        <v>283</v>
      </c>
      <c r="M14" s="28" t="s">
        <v>284</v>
      </c>
      <c r="N14" s="28" t="s">
        <v>285</v>
      </c>
      <c r="O14" s="28" t="s">
        <v>286</v>
      </c>
      <c r="P14" s="28" t="s">
        <v>287</v>
      </c>
      <c r="Q14" s="28" t="s">
        <v>288</v>
      </c>
      <c r="R14" s="28" t="s">
        <v>289</v>
      </c>
      <c r="S14" s="28" t="s">
        <v>290</v>
      </c>
      <c r="T14" s="28" t="s">
        <v>291</v>
      </c>
      <c r="U14" s="28" t="s">
        <v>292</v>
      </c>
      <c r="V14" s="28" t="s">
        <v>293</v>
      </c>
      <c r="W14" s="28" t="s">
        <v>294</v>
      </c>
      <c r="X14" s="28" t="s">
        <v>295</v>
      </c>
      <c r="Y14" s="28" t="s">
        <v>296</v>
      </c>
      <c r="Z14" s="28" t="s">
        <v>297</v>
      </c>
      <c r="AA14" s="28" t="s">
        <v>298</v>
      </c>
      <c r="AB14" s="28" t="s">
        <v>299</v>
      </c>
      <c r="AC14" s="28" t="s">
        <v>300</v>
      </c>
      <c r="AD14" s="28" t="s">
        <v>301</v>
      </c>
      <c r="AE14" s="28" t="s">
        <v>302</v>
      </c>
      <c r="AF14" s="28" t="s">
        <v>303</v>
      </c>
      <c r="AG14" s="28" t="s">
        <v>304</v>
      </c>
      <c r="AH14" s="28" t="s">
        <v>305</v>
      </c>
      <c r="AI14" s="28" t="s">
        <v>306</v>
      </c>
      <c r="AJ14" s="28" t="s">
        <v>307</v>
      </c>
      <c r="AK14" s="28" t="s">
        <v>308</v>
      </c>
      <c r="AL14" s="28" t="s">
        <v>309</v>
      </c>
      <c r="AM14" s="28" t="s">
        <v>310</v>
      </c>
      <c r="AN14" s="28" t="s">
        <v>311</v>
      </c>
      <c r="AO14" s="28" t="s">
        <v>312</v>
      </c>
      <c r="AP14" s="28" t="s">
        <v>313</v>
      </c>
      <c r="AQ14" s="28" t="s">
        <v>314</v>
      </c>
      <c r="AR14" s="28" t="s">
        <v>315</v>
      </c>
      <c r="AS14" s="28" t="s">
        <v>316</v>
      </c>
      <c r="AT14" s="28" t="s">
        <v>317</v>
      </c>
      <c r="AU14" s="28" t="s">
        <v>318</v>
      </c>
      <c r="AV14" s="28" t="s">
        <v>319</v>
      </c>
      <c r="AW14" s="28" t="s">
        <v>320</v>
      </c>
      <c r="AX14" s="28" t="s">
        <v>321</v>
      </c>
      <c r="AY14" s="28" t="s">
        <v>322</v>
      </c>
      <c r="AZ14" s="28" t="s">
        <v>323</v>
      </c>
      <c r="BA14" s="28" t="s">
        <v>324</v>
      </c>
      <c r="BB14" s="28" t="s">
        <v>325</v>
      </c>
      <c r="BC14" s="28" t="s">
        <v>326</v>
      </c>
      <c r="BD14" s="28" t="s">
        <v>327</v>
      </c>
      <c r="BE14" s="28" t="s">
        <v>328</v>
      </c>
      <c r="BF14" s="28" t="s">
        <v>329</v>
      </c>
      <c r="BG14" s="28" t="s">
        <v>330</v>
      </c>
      <c r="BH14" s="28" t="s">
        <v>331</v>
      </c>
      <c r="BI14" s="28" t="s">
        <v>332</v>
      </c>
      <c r="BJ14" s="28" t="s">
        <v>333</v>
      </c>
      <c r="BK14" s="28" t="s">
        <v>334</v>
      </c>
      <c r="BL14" s="28" t="s">
        <v>335</v>
      </c>
    </row>
    <row r="15" spans="1:64" x14ac:dyDescent="0.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x14ac:dyDescent="0.5">
      <c r="A16" s="28" t="s">
        <v>336</v>
      </c>
      <c r="B16" s="28" t="s">
        <v>337</v>
      </c>
      <c r="C16" s="28" t="s">
        <v>338</v>
      </c>
      <c r="D16" s="28" t="s">
        <v>339</v>
      </c>
      <c r="E16" s="28" t="s">
        <v>109</v>
      </c>
      <c r="F16" s="28"/>
      <c r="G16" s="28"/>
      <c r="H16" s="28" t="s">
        <v>115</v>
      </c>
      <c r="I16" s="28" t="s">
        <v>340</v>
      </c>
      <c r="J16" s="28" t="s">
        <v>338</v>
      </c>
      <c r="K16" s="28"/>
      <c r="L16" s="28" t="s">
        <v>341</v>
      </c>
      <c r="M16" s="28" t="s">
        <v>342</v>
      </c>
      <c r="N16" s="28" t="s">
        <v>142</v>
      </c>
      <c r="O16" s="28" t="s">
        <v>343</v>
      </c>
      <c r="P16" s="28"/>
      <c r="Q16" s="28"/>
      <c r="R16" s="28"/>
      <c r="S16" s="28"/>
      <c r="T16" s="28"/>
      <c r="U16" s="28"/>
      <c r="V16" s="28" t="s">
        <v>344</v>
      </c>
      <c r="W16" s="28" t="s">
        <v>345</v>
      </c>
      <c r="X16" s="28" t="s">
        <v>346</v>
      </c>
      <c r="Y16" s="28" t="s">
        <v>347</v>
      </c>
      <c r="Z16" s="28"/>
      <c r="AA16" s="28"/>
      <c r="AB16" s="28"/>
      <c r="AC16" s="28"/>
      <c r="AD16" s="28" t="s">
        <v>109</v>
      </c>
      <c r="AE16" s="28"/>
      <c r="AF16" s="28"/>
      <c r="AG16" s="28" t="s">
        <v>357</v>
      </c>
      <c r="AH16" s="28" t="s">
        <v>143</v>
      </c>
      <c r="AI16" s="28"/>
      <c r="AJ16" s="28"/>
      <c r="AK16" s="28" t="s">
        <v>108</v>
      </c>
      <c r="AL16" s="28" t="s">
        <v>358</v>
      </c>
      <c r="AM16" s="28" t="s">
        <v>359</v>
      </c>
      <c r="AN16" s="28" t="s">
        <v>349</v>
      </c>
      <c r="AO16" s="28"/>
      <c r="AP16" s="28" t="s">
        <v>350</v>
      </c>
      <c r="AQ16" s="28"/>
      <c r="AR16" s="28"/>
      <c r="AS16" s="28"/>
      <c r="AT16" s="28"/>
      <c r="AU16" s="28" t="s">
        <v>142</v>
      </c>
      <c r="AV16" s="28"/>
      <c r="AW16" s="28"/>
      <c r="AX16" s="28" t="s">
        <v>340</v>
      </c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x14ac:dyDescent="0.5">
      <c r="A17" s="28" t="s">
        <v>351</v>
      </c>
      <c r="B17" s="28" t="s">
        <v>352</v>
      </c>
      <c r="C17" s="28" t="s">
        <v>353</v>
      </c>
      <c r="D17" s="28" t="s">
        <v>339</v>
      </c>
      <c r="E17" s="28" t="s">
        <v>109</v>
      </c>
      <c r="F17" s="28"/>
      <c r="G17" s="28"/>
      <c r="H17" s="28" t="s">
        <v>115</v>
      </c>
      <c r="I17" s="28" t="s">
        <v>340</v>
      </c>
      <c r="J17" s="28" t="s">
        <v>352</v>
      </c>
      <c r="K17" s="28"/>
      <c r="L17" s="28" t="s">
        <v>341</v>
      </c>
      <c r="M17" s="28" t="s">
        <v>354</v>
      </c>
      <c r="N17" s="28" t="s">
        <v>142</v>
      </c>
      <c r="O17" s="28" t="s">
        <v>343</v>
      </c>
      <c r="P17" s="28"/>
      <c r="Q17" s="28"/>
      <c r="R17" s="28"/>
      <c r="S17" s="28"/>
      <c r="T17" s="28"/>
      <c r="U17" s="28"/>
      <c r="V17" s="28" t="s">
        <v>355</v>
      </c>
      <c r="W17" s="28" t="s">
        <v>338</v>
      </c>
      <c r="X17" s="28" t="s">
        <v>336</v>
      </c>
      <c r="Y17" s="28"/>
      <c r="Z17" s="28"/>
      <c r="AA17" s="28"/>
      <c r="AB17" s="28"/>
      <c r="AC17" s="28"/>
      <c r="AD17" s="28" t="s">
        <v>109</v>
      </c>
      <c r="AE17" s="28"/>
      <c r="AF17" s="28"/>
      <c r="AG17" s="28" t="s">
        <v>112</v>
      </c>
      <c r="AH17" s="28" t="s">
        <v>143</v>
      </c>
      <c r="AI17" s="28"/>
      <c r="AJ17" s="28"/>
      <c r="AK17" s="28" t="s">
        <v>108</v>
      </c>
      <c r="AL17" s="28" t="s">
        <v>142</v>
      </c>
      <c r="AM17" s="28" t="s">
        <v>348</v>
      </c>
      <c r="AN17" s="28" t="s">
        <v>349</v>
      </c>
      <c r="AO17" s="28"/>
      <c r="AP17" s="28" t="s">
        <v>350</v>
      </c>
      <c r="AQ17" s="28"/>
      <c r="AR17" s="28"/>
      <c r="AS17" s="28"/>
      <c r="AT17" s="28"/>
      <c r="AU17" s="28" t="s">
        <v>142</v>
      </c>
      <c r="AV17" s="28"/>
      <c r="AW17" s="28"/>
      <c r="AX17" s="28" t="s">
        <v>340</v>
      </c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20" spans="1:64" x14ac:dyDescent="0.5">
      <c r="A20" s="26" t="s">
        <v>360</v>
      </c>
    </row>
    <row r="21" spans="1:64" x14ac:dyDescent="0.5">
      <c r="A21" s="28" t="s">
        <v>3</v>
      </c>
      <c r="B21" s="28" t="s">
        <v>166</v>
      </c>
      <c r="C21" s="28" t="s">
        <v>274</v>
      </c>
      <c r="D21" s="28" t="s">
        <v>273</v>
      </c>
      <c r="E21" s="28" t="s">
        <v>361</v>
      </c>
      <c r="F21" s="28" t="s">
        <v>362</v>
      </c>
      <c r="G21" s="28" t="s">
        <v>363</v>
      </c>
      <c r="H21" s="28" t="s">
        <v>364</v>
      </c>
      <c r="I21" s="28" t="s">
        <v>365</v>
      </c>
      <c r="J21" s="28" t="s">
        <v>366</v>
      </c>
      <c r="K21" s="28" t="s">
        <v>367</v>
      </c>
      <c r="L21" s="28" t="s">
        <v>368</v>
      </c>
      <c r="M21" s="28" t="s">
        <v>309</v>
      </c>
      <c r="N21" s="28" t="s">
        <v>369</v>
      </c>
      <c r="O21" s="28" t="s">
        <v>370</v>
      </c>
      <c r="P21" s="28" t="s">
        <v>371</v>
      </c>
      <c r="Q21" s="28" t="s">
        <v>372</v>
      </c>
      <c r="R21" s="28" t="s">
        <v>373</v>
      </c>
      <c r="S21" s="28" t="s">
        <v>374</v>
      </c>
    </row>
    <row r="22" spans="1:64" x14ac:dyDescent="0.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64" x14ac:dyDescent="0.5">
      <c r="A23" s="28" t="s">
        <v>375</v>
      </c>
      <c r="B23" s="28" t="s">
        <v>337</v>
      </c>
      <c r="C23" s="28" t="s">
        <v>376</v>
      </c>
      <c r="D23" s="28" t="s">
        <v>336</v>
      </c>
      <c r="E23" s="28" t="s">
        <v>377</v>
      </c>
      <c r="F23" s="28" t="s">
        <v>378</v>
      </c>
      <c r="G23" s="28" t="s">
        <v>379</v>
      </c>
      <c r="H23" s="28" t="s">
        <v>380</v>
      </c>
      <c r="I23" s="28" t="s">
        <v>381</v>
      </c>
      <c r="J23" s="28" t="s">
        <v>382</v>
      </c>
      <c r="K23" s="28" t="s">
        <v>383</v>
      </c>
      <c r="L23" s="28" t="s">
        <v>112</v>
      </c>
      <c r="M23" s="28" t="s">
        <v>109</v>
      </c>
      <c r="N23" s="28"/>
      <c r="O23" s="28"/>
      <c r="P23" s="28" t="s">
        <v>384</v>
      </c>
      <c r="Q23" s="28" t="s">
        <v>380</v>
      </c>
      <c r="R23" s="28" t="s">
        <v>381</v>
      </c>
      <c r="S23" s="28" t="s">
        <v>385</v>
      </c>
    </row>
    <row r="24" spans="1:64" x14ac:dyDescent="0.5">
      <c r="A24" s="28" t="s">
        <v>386</v>
      </c>
      <c r="B24" s="28" t="s">
        <v>352</v>
      </c>
      <c r="C24" s="28" t="s">
        <v>353</v>
      </c>
      <c r="D24" s="28" t="s">
        <v>351</v>
      </c>
      <c r="E24" s="28" t="s">
        <v>377</v>
      </c>
      <c r="F24" s="28" t="s">
        <v>378</v>
      </c>
      <c r="G24" s="28" t="s">
        <v>379</v>
      </c>
      <c r="H24" s="28" t="s">
        <v>380</v>
      </c>
      <c r="I24" s="28" t="s">
        <v>381</v>
      </c>
      <c r="J24" s="28" t="s">
        <v>382</v>
      </c>
      <c r="K24" s="28" t="s">
        <v>383</v>
      </c>
      <c r="L24" s="28" t="s">
        <v>112</v>
      </c>
      <c r="M24" s="28" t="s">
        <v>109</v>
      </c>
      <c r="N24" s="28"/>
      <c r="O24" s="28"/>
      <c r="P24" s="28" t="s">
        <v>384</v>
      </c>
      <c r="Q24" s="28" t="s">
        <v>380</v>
      </c>
      <c r="R24" s="28" t="s">
        <v>381</v>
      </c>
      <c r="S24" s="28" t="s">
        <v>385</v>
      </c>
    </row>
    <row r="25" spans="1:64" x14ac:dyDescent="0.5">
      <c r="A25" s="28" t="s">
        <v>387</v>
      </c>
      <c r="B25" s="28" t="s">
        <v>337</v>
      </c>
      <c r="C25" s="28" t="s">
        <v>338</v>
      </c>
      <c r="D25" s="28" t="s">
        <v>336</v>
      </c>
      <c r="E25" s="28" t="s">
        <v>388</v>
      </c>
      <c r="F25" s="28" t="s">
        <v>378</v>
      </c>
      <c r="G25" s="28" t="s">
        <v>379</v>
      </c>
      <c r="H25" s="28" t="s">
        <v>380</v>
      </c>
      <c r="I25" s="28" t="s">
        <v>381</v>
      </c>
      <c r="J25" s="28" t="s">
        <v>382</v>
      </c>
      <c r="K25" s="28" t="s">
        <v>389</v>
      </c>
      <c r="L25" s="28" t="s">
        <v>357</v>
      </c>
      <c r="M25" s="28" t="s">
        <v>358</v>
      </c>
      <c r="N25" s="28" t="s">
        <v>390</v>
      </c>
      <c r="O25" s="28"/>
      <c r="P25" s="28" t="s">
        <v>384</v>
      </c>
      <c r="Q25" s="28"/>
      <c r="R25" s="28"/>
      <c r="S25" s="28" t="s">
        <v>391</v>
      </c>
    </row>
    <row r="28" spans="1:64" x14ac:dyDescent="0.5">
      <c r="A28" s="25" t="s">
        <v>393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30" spans="1:64" x14ac:dyDescent="0.5">
      <c r="B30" s="26" t="s">
        <v>394</v>
      </c>
    </row>
    <row r="31" spans="1:64" x14ac:dyDescent="0.5">
      <c r="B31" s="26" t="s">
        <v>395</v>
      </c>
    </row>
    <row r="32" spans="1:64" x14ac:dyDescent="0.5">
      <c r="B32" s="26" t="s">
        <v>396</v>
      </c>
    </row>
    <row r="33" spans="1:64" x14ac:dyDescent="0.5">
      <c r="B33" s="26" t="s">
        <v>397</v>
      </c>
    </row>
    <row r="34" spans="1:64" x14ac:dyDescent="0.5">
      <c r="B34" s="26" t="s">
        <v>398</v>
      </c>
    </row>
    <row r="35" spans="1:64" x14ac:dyDescent="0.5">
      <c r="B35" s="26" t="s">
        <v>399</v>
      </c>
    </row>
    <row r="37" spans="1:64" x14ac:dyDescent="0.5">
      <c r="A37" s="27" t="s">
        <v>271</v>
      </c>
      <c r="B37" s="27"/>
      <c r="C37" s="27"/>
      <c r="D37" s="27"/>
    </row>
    <row r="38" spans="1:64" x14ac:dyDescent="0.5">
      <c r="A38" s="26" t="s">
        <v>272</v>
      </c>
    </row>
    <row r="39" spans="1:64" x14ac:dyDescent="0.5">
      <c r="A39" s="28" t="s">
        <v>273</v>
      </c>
      <c r="B39" s="28" t="s">
        <v>166</v>
      </c>
      <c r="C39" s="28" t="s">
        <v>274</v>
      </c>
      <c r="D39" s="28" t="s">
        <v>275</v>
      </c>
      <c r="E39" s="28" t="s">
        <v>276</v>
      </c>
      <c r="F39" s="28" t="s">
        <v>277</v>
      </c>
      <c r="G39" s="28" t="s">
        <v>278</v>
      </c>
      <c r="H39" s="28" t="s">
        <v>279</v>
      </c>
      <c r="I39" s="28" t="s">
        <v>280</v>
      </c>
      <c r="J39" s="28" t="s">
        <v>281</v>
      </c>
      <c r="K39" s="28" t="s">
        <v>282</v>
      </c>
      <c r="L39" s="28" t="s">
        <v>283</v>
      </c>
      <c r="M39" s="28" t="s">
        <v>284</v>
      </c>
      <c r="N39" s="28" t="s">
        <v>285</v>
      </c>
      <c r="O39" s="28" t="s">
        <v>286</v>
      </c>
      <c r="P39" s="28" t="s">
        <v>287</v>
      </c>
      <c r="Q39" s="28" t="s">
        <v>288</v>
      </c>
      <c r="R39" s="28" t="s">
        <v>289</v>
      </c>
      <c r="S39" s="28" t="s">
        <v>290</v>
      </c>
      <c r="T39" s="28" t="s">
        <v>291</v>
      </c>
      <c r="U39" s="28" t="s">
        <v>292</v>
      </c>
      <c r="V39" s="28" t="s">
        <v>293</v>
      </c>
      <c r="W39" s="28" t="s">
        <v>294</v>
      </c>
      <c r="X39" s="28" t="s">
        <v>295</v>
      </c>
      <c r="Y39" s="28" t="s">
        <v>296</v>
      </c>
      <c r="Z39" s="28" t="s">
        <v>297</v>
      </c>
      <c r="AA39" s="28" t="s">
        <v>298</v>
      </c>
      <c r="AB39" s="28" t="s">
        <v>299</v>
      </c>
      <c r="AC39" s="28" t="s">
        <v>300</v>
      </c>
      <c r="AD39" s="28" t="s">
        <v>301</v>
      </c>
      <c r="AE39" s="28" t="s">
        <v>302</v>
      </c>
      <c r="AF39" s="28" t="s">
        <v>303</v>
      </c>
      <c r="AG39" s="28" t="s">
        <v>304</v>
      </c>
      <c r="AH39" s="28" t="s">
        <v>305</v>
      </c>
      <c r="AI39" s="28" t="s">
        <v>306</v>
      </c>
      <c r="AJ39" s="28" t="s">
        <v>307</v>
      </c>
      <c r="AK39" s="28" t="s">
        <v>308</v>
      </c>
      <c r="AL39" s="28" t="s">
        <v>309</v>
      </c>
      <c r="AM39" s="28" t="s">
        <v>310</v>
      </c>
      <c r="AN39" s="28" t="s">
        <v>311</v>
      </c>
      <c r="AO39" s="28" t="s">
        <v>312</v>
      </c>
      <c r="AP39" s="28" t="s">
        <v>313</v>
      </c>
      <c r="AQ39" s="28" t="s">
        <v>314</v>
      </c>
      <c r="AR39" s="28" t="s">
        <v>315</v>
      </c>
      <c r="AS39" s="28" t="s">
        <v>316</v>
      </c>
      <c r="AT39" s="28" t="s">
        <v>317</v>
      </c>
      <c r="AU39" s="28" t="s">
        <v>318</v>
      </c>
      <c r="AV39" s="28" t="s">
        <v>319</v>
      </c>
      <c r="AW39" s="28" t="s">
        <v>320</v>
      </c>
      <c r="AX39" s="28" t="s">
        <v>321</v>
      </c>
      <c r="AY39" s="28" t="s">
        <v>322</v>
      </c>
      <c r="AZ39" s="28" t="s">
        <v>323</v>
      </c>
      <c r="BA39" s="28" t="s">
        <v>324</v>
      </c>
      <c r="BB39" s="28" t="s">
        <v>325</v>
      </c>
      <c r="BC39" s="28" t="s">
        <v>326</v>
      </c>
      <c r="BD39" s="28" t="s">
        <v>327</v>
      </c>
      <c r="BE39" s="28" t="s">
        <v>328</v>
      </c>
      <c r="BF39" s="28" t="s">
        <v>329</v>
      </c>
      <c r="BG39" s="28" t="s">
        <v>330</v>
      </c>
      <c r="BH39" s="28" t="s">
        <v>331</v>
      </c>
      <c r="BI39" s="28" t="s">
        <v>332</v>
      </c>
      <c r="BJ39" s="28" t="s">
        <v>333</v>
      </c>
      <c r="BK39" s="28" t="s">
        <v>334</v>
      </c>
      <c r="BL39" s="28" t="s">
        <v>335</v>
      </c>
    </row>
    <row r="40" spans="1:64" x14ac:dyDescent="0.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x14ac:dyDescent="0.5">
      <c r="A41" s="28" t="s">
        <v>400</v>
      </c>
      <c r="B41" s="28" t="s">
        <v>337</v>
      </c>
      <c r="C41" s="28" t="s">
        <v>338</v>
      </c>
      <c r="D41" s="28" t="s">
        <v>401</v>
      </c>
      <c r="E41" s="28" t="s">
        <v>109</v>
      </c>
      <c r="F41" s="28" t="s">
        <v>402</v>
      </c>
      <c r="G41" s="28"/>
      <c r="H41" s="28" t="s">
        <v>115</v>
      </c>
      <c r="I41" s="28" t="s">
        <v>403</v>
      </c>
      <c r="J41" s="28" t="s">
        <v>338</v>
      </c>
      <c r="K41" s="28"/>
      <c r="L41" s="28" t="s">
        <v>341</v>
      </c>
      <c r="M41" s="28" t="s">
        <v>379</v>
      </c>
      <c r="N41" s="28" t="s">
        <v>404</v>
      </c>
      <c r="O41" s="28" t="s">
        <v>405</v>
      </c>
      <c r="P41" s="28" t="s">
        <v>109</v>
      </c>
      <c r="Q41" s="28"/>
      <c r="R41" s="28"/>
      <c r="S41" s="28"/>
      <c r="T41" s="28"/>
      <c r="U41" s="28"/>
      <c r="V41" s="28" t="s">
        <v>344</v>
      </c>
      <c r="W41" s="28" t="s">
        <v>406</v>
      </c>
      <c r="X41" s="28" t="s">
        <v>346</v>
      </c>
      <c r="Y41" s="28" t="s">
        <v>347</v>
      </c>
      <c r="Z41" s="28"/>
      <c r="AA41" s="28"/>
      <c r="AB41" s="28"/>
      <c r="AC41" s="28"/>
      <c r="AD41" s="28" t="s">
        <v>109</v>
      </c>
      <c r="AE41" s="28"/>
      <c r="AF41" s="28"/>
      <c r="AG41" s="28" t="s">
        <v>407</v>
      </c>
      <c r="AH41" s="28" t="s">
        <v>109</v>
      </c>
      <c r="AI41" s="28"/>
      <c r="AJ41" s="28"/>
      <c r="AK41" s="28" t="s">
        <v>108</v>
      </c>
      <c r="AL41" s="28" t="s">
        <v>109</v>
      </c>
      <c r="AM41" s="28" t="s">
        <v>408</v>
      </c>
      <c r="AN41" s="28" t="s">
        <v>349</v>
      </c>
      <c r="AO41" s="28"/>
      <c r="AP41" s="28" t="s">
        <v>350</v>
      </c>
      <c r="AQ41" s="28"/>
      <c r="AR41" s="28"/>
      <c r="AS41" s="28"/>
      <c r="AT41" s="28"/>
      <c r="AU41" s="28" t="s">
        <v>142</v>
      </c>
      <c r="AV41" s="28"/>
      <c r="AW41" s="28"/>
      <c r="AX41" s="28" t="s">
        <v>403</v>
      </c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x14ac:dyDescent="0.5">
      <c r="A42" s="28" t="s">
        <v>409</v>
      </c>
      <c r="B42" s="28" t="s">
        <v>352</v>
      </c>
      <c r="C42" s="28" t="s">
        <v>353</v>
      </c>
      <c r="D42" s="28" t="s">
        <v>401</v>
      </c>
      <c r="E42" s="28" t="s">
        <v>109</v>
      </c>
      <c r="F42" s="28" t="s">
        <v>402</v>
      </c>
      <c r="G42" s="28" t="s">
        <v>410</v>
      </c>
      <c r="H42" s="28" t="s">
        <v>115</v>
      </c>
      <c r="I42" s="28" t="s">
        <v>403</v>
      </c>
      <c r="J42" s="28" t="s">
        <v>352</v>
      </c>
      <c r="K42" s="28" t="s">
        <v>411</v>
      </c>
      <c r="L42" s="28" t="s">
        <v>341</v>
      </c>
      <c r="M42" s="28" t="s">
        <v>412</v>
      </c>
      <c r="N42" s="28" t="s">
        <v>413</v>
      </c>
      <c r="O42" s="28" t="s">
        <v>343</v>
      </c>
      <c r="P42" s="28" t="s">
        <v>414</v>
      </c>
      <c r="Q42" s="28"/>
      <c r="R42" s="28"/>
      <c r="S42" s="28"/>
      <c r="T42" s="28"/>
      <c r="U42" s="28"/>
      <c r="V42" s="28" t="s">
        <v>355</v>
      </c>
      <c r="W42" s="28" t="s">
        <v>338</v>
      </c>
      <c r="X42" s="28" t="s">
        <v>400</v>
      </c>
      <c r="Y42" s="28"/>
      <c r="Z42" s="28"/>
      <c r="AA42" s="28"/>
      <c r="AB42" s="28"/>
      <c r="AC42" s="28"/>
      <c r="AD42" s="28" t="s">
        <v>109</v>
      </c>
      <c r="AE42" s="28"/>
      <c r="AF42" s="28"/>
      <c r="AG42" s="28" t="s">
        <v>407</v>
      </c>
      <c r="AH42" s="28" t="s">
        <v>109</v>
      </c>
      <c r="AI42" s="28"/>
      <c r="AJ42" s="28"/>
      <c r="AK42" s="28" t="s">
        <v>108</v>
      </c>
      <c r="AL42" s="28" t="s">
        <v>143</v>
      </c>
      <c r="AM42" s="28" t="s">
        <v>408</v>
      </c>
      <c r="AN42" s="28" t="s">
        <v>349</v>
      </c>
      <c r="AO42" s="28"/>
      <c r="AP42" s="28" t="s">
        <v>350</v>
      </c>
      <c r="AQ42" s="28"/>
      <c r="AR42" s="28"/>
      <c r="AS42" s="28"/>
      <c r="AT42" s="28"/>
      <c r="AU42" s="28" t="s">
        <v>142</v>
      </c>
      <c r="AV42" s="28"/>
      <c r="AW42" s="28"/>
      <c r="AX42" s="28" t="s">
        <v>403</v>
      </c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4" spans="1:64" x14ac:dyDescent="0.5">
      <c r="A44" s="27" t="s">
        <v>356</v>
      </c>
      <c r="B44" s="27"/>
      <c r="C44" s="27"/>
      <c r="D44" s="27"/>
    </row>
    <row r="45" spans="1:64" x14ac:dyDescent="0.5">
      <c r="A45" s="26" t="s">
        <v>272</v>
      </c>
    </row>
    <row r="46" spans="1:64" x14ac:dyDescent="0.5">
      <c r="A46" s="28" t="s">
        <v>273</v>
      </c>
      <c r="B46" s="28" t="s">
        <v>166</v>
      </c>
      <c r="C46" s="28" t="s">
        <v>274</v>
      </c>
      <c r="D46" s="28" t="s">
        <v>275</v>
      </c>
      <c r="E46" s="28" t="s">
        <v>276</v>
      </c>
      <c r="F46" s="28" t="s">
        <v>277</v>
      </c>
      <c r="G46" s="28" t="s">
        <v>278</v>
      </c>
      <c r="H46" s="28" t="s">
        <v>279</v>
      </c>
      <c r="I46" s="28" t="s">
        <v>280</v>
      </c>
      <c r="J46" s="28" t="s">
        <v>281</v>
      </c>
      <c r="K46" s="28" t="s">
        <v>282</v>
      </c>
      <c r="L46" s="28" t="s">
        <v>283</v>
      </c>
      <c r="M46" s="28" t="s">
        <v>284</v>
      </c>
      <c r="N46" s="28" t="s">
        <v>285</v>
      </c>
      <c r="O46" s="28" t="s">
        <v>286</v>
      </c>
      <c r="P46" s="28" t="s">
        <v>287</v>
      </c>
      <c r="Q46" s="28" t="s">
        <v>288</v>
      </c>
      <c r="R46" s="28" t="s">
        <v>289</v>
      </c>
      <c r="S46" s="28" t="s">
        <v>290</v>
      </c>
      <c r="T46" s="28" t="s">
        <v>291</v>
      </c>
      <c r="U46" s="28" t="s">
        <v>292</v>
      </c>
      <c r="V46" s="28" t="s">
        <v>293</v>
      </c>
      <c r="W46" s="28" t="s">
        <v>294</v>
      </c>
      <c r="X46" s="28" t="s">
        <v>295</v>
      </c>
      <c r="Y46" s="28" t="s">
        <v>296</v>
      </c>
      <c r="Z46" s="28" t="s">
        <v>297</v>
      </c>
      <c r="AA46" s="28" t="s">
        <v>298</v>
      </c>
      <c r="AB46" s="28" t="s">
        <v>299</v>
      </c>
      <c r="AC46" s="28" t="s">
        <v>300</v>
      </c>
      <c r="AD46" s="28" t="s">
        <v>301</v>
      </c>
      <c r="AE46" s="28" t="s">
        <v>302</v>
      </c>
      <c r="AF46" s="28" t="s">
        <v>303</v>
      </c>
      <c r="AG46" s="28" t="s">
        <v>304</v>
      </c>
      <c r="AH46" s="28" t="s">
        <v>305</v>
      </c>
      <c r="AI46" s="28" t="s">
        <v>306</v>
      </c>
      <c r="AJ46" s="28" t="s">
        <v>307</v>
      </c>
      <c r="AK46" s="28" t="s">
        <v>308</v>
      </c>
      <c r="AL46" s="28" t="s">
        <v>309</v>
      </c>
      <c r="AM46" s="28" t="s">
        <v>310</v>
      </c>
      <c r="AN46" s="28" t="s">
        <v>311</v>
      </c>
      <c r="AO46" s="28" t="s">
        <v>312</v>
      </c>
      <c r="AP46" s="28" t="s">
        <v>313</v>
      </c>
      <c r="AQ46" s="28" t="s">
        <v>314</v>
      </c>
      <c r="AR46" s="28" t="s">
        <v>315</v>
      </c>
      <c r="AS46" s="28" t="s">
        <v>316</v>
      </c>
      <c r="AT46" s="28" t="s">
        <v>317</v>
      </c>
      <c r="AU46" s="28" t="s">
        <v>318</v>
      </c>
      <c r="AV46" s="28" t="s">
        <v>319</v>
      </c>
      <c r="AW46" s="28" t="s">
        <v>320</v>
      </c>
      <c r="AX46" s="28" t="s">
        <v>321</v>
      </c>
      <c r="AY46" s="28" t="s">
        <v>322</v>
      </c>
      <c r="AZ46" s="28" t="s">
        <v>323</v>
      </c>
      <c r="BA46" s="28" t="s">
        <v>324</v>
      </c>
      <c r="BB46" s="28" t="s">
        <v>325</v>
      </c>
      <c r="BC46" s="28" t="s">
        <v>326</v>
      </c>
      <c r="BD46" s="28" t="s">
        <v>327</v>
      </c>
      <c r="BE46" s="28" t="s">
        <v>328</v>
      </c>
      <c r="BF46" s="28" t="s">
        <v>329</v>
      </c>
      <c r="BG46" s="28" t="s">
        <v>330</v>
      </c>
      <c r="BH46" s="28" t="s">
        <v>331</v>
      </c>
      <c r="BI46" s="28" t="s">
        <v>332</v>
      </c>
      <c r="BJ46" s="28" t="s">
        <v>333</v>
      </c>
      <c r="BK46" s="28" t="s">
        <v>334</v>
      </c>
      <c r="BL46" s="28" t="s">
        <v>335</v>
      </c>
    </row>
    <row r="47" spans="1:64" x14ac:dyDescent="0.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x14ac:dyDescent="0.5">
      <c r="A48" s="28" t="s">
        <v>400</v>
      </c>
      <c r="B48" s="28" t="s">
        <v>337</v>
      </c>
      <c r="C48" s="28" t="s">
        <v>338</v>
      </c>
      <c r="D48" s="28" t="s">
        <v>401</v>
      </c>
      <c r="E48" s="28" t="s">
        <v>109</v>
      </c>
      <c r="F48" s="28" t="s">
        <v>402</v>
      </c>
      <c r="G48" s="28" t="s">
        <v>415</v>
      </c>
      <c r="H48" s="28" t="s">
        <v>115</v>
      </c>
      <c r="I48" s="28" t="s">
        <v>403</v>
      </c>
      <c r="J48" s="28" t="s">
        <v>338</v>
      </c>
      <c r="K48" s="28" t="s">
        <v>416</v>
      </c>
      <c r="L48" s="28" t="s">
        <v>341</v>
      </c>
      <c r="M48" s="28" t="s">
        <v>417</v>
      </c>
      <c r="N48" s="28" t="s">
        <v>404</v>
      </c>
      <c r="O48" s="28" t="s">
        <v>405</v>
      </c>
      <c r="P48" s="28" t="s">
        <v>109</v>
      </c>
      <c r="Q48" s="28"/>
      <c r="R48" s="28"/>
      <c r="S48" s="28"/>
      <c r="T48" s="28"/>
      <c r="U48" s="28"/>
      <c r="V48" s="28" t="s">
        <v>344</v>
      </c>
      <c r="W48" s="28" t="s">
        <v>406</v>
      </c>
      <c r="X48" s="28" t="s">
        <v>346</v>
      </c>
      <c r="Y48" s="28" t="s">
        <v>347</v>
      </c>
      <c r="Z48" s="28"/>
      <c r="AA48" s="28"/>
      <c r="AB48" s="28"/>
      <c r="AC48" s="28"/>
      <c r="AD48" s="28" t="s">
        <v>109</v>
      </c>
      <c r="AE48" s="28"/>
      <c r="AF48" s="28"/>
      <c r="AG48" s="28" t="s">
        <v>357</v>
      </c>
      <c r="AH48" s="28" t="s">
        <v>109</v>
      </c>
      <c r="AI48" s="28"/>
      <c r="AJ48" s="28"/>
      <c r="AK48" s="28" t="s">
        <v>108</v>
      </c>
      <c r="AL48" s="28" t="s">
        <v>143</v>
      </c>
      <c r="AM48" s="28" t="s">
        <v>418</v>
      </c>
      <c r="AN48" s="28" t="s">
        <v>349</v>
      </c>
      <c r="AO48" s="28"/>
      <c r="AP48" s="28" t="s">
        <v>350</v>
      </c>
      <c r="AQ48" s="28"/>
      <c r="AR48" s="28"/>
      <c r="AS48" s="28"/>
      <c r="AT48" s="28"/>
      <c r="AU48" s="28" t="s">
        <v>142</v>
      </c>
      <c r="AV48" s="28"/>
      <c r="AW48" s="28"/>
      <c r="AX48" s="28" t="s">
        <v>403</v>
      </c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x14ac:dyDescent="0.5">
      <c r="A49" s="28" t="s">
        <v>409</v>
      </c>
      <c r="B49" s="28" t="s">
        <v>352</v>
      </c>
      <c r="C49" s="28" t="s">
        <v>353</v>
      </c>
      <c r="D49" s="28" t="s">
        <v>401</v>
      </c>
      <c r="E49" s="28" t="s">
        <v>109</v>
      </c>
      <c r="F49" s="28" t="s">
        <v>402</v>
      </c>
      <c r="G49" s="28" t="s">
        <v>410</v>
      </c>
      <c r="H49" s="28" t="s">
        <v>115</v>
      </c>
      <c r="I49" s="28" t="s">
        <v>403</v>
      </c>
      <c r="J49" s="28" t="s">
        <v>352</v>
      </c>
      <c r="K49" s="28" t="s">
        <v>411</v>
      </c>
      <c r="L49" s="28" t="s">
        <v>341</v>
      </c>
      <c r="M49" s="28" t="s">
        <v>412</v>
      </c>
      <c r="N49" s="28" t="s">
        <v>413</v>
      </c>
      <c r="O49" s="28" t="s">
        <v>343</v>
      </c>
      <c r="P49" s="28" t="s">
        <v>414</v>
      </c>
      <c r="Q49" s="28"/>
      <c r="R49" s="28"/>
      <c r="S49" s="28"/>
      <c r="T49" s="28"/>
      <c r="U49" s="28"/>
      <c r="V49" s="28" t="s">
        <v>355</v>
      </c>
      <c r="W49" s="28" t="s">
        <v>338</v>
      </c>
      <c r="X49" s="28" t="s">
        <v>400</v>
      </c>
      <c r="Y49" s="28"/>
      <c r="Z49" s="28"/>
      <c r="AA49" s="28"/>
      <c r="AB49" s="28"/>
      <c r="AC49" s="28"/>
      <c r="AD49" s="28" t="s">
        <v>109</v>
      </c>
      <c r="AE49" s="28"/>
      <c r="AF49" s="28"/>
      <c r="AG49" s="28" t="s">
        <v>407</v>
      </c>
      <c r="AH49" s="28" t="s">
        <v>109</v>
      </c>
      <c r="AI49" s="28"/>
      <c r="AJ49" s="28"/>
      <c r="AK49" s="28" t="s">
        <v>108</v>
      </c>
      <c r="AL49" s="28" t="s">
        <v>143</v>
      </c>
      <c r="AM49" s="28" t="s">
        <v>408</v>
      </c>
      <c r="AN49" s="28" t="s">
        <v>349</v>
      </c>
      <c r="AO49" s="28"/>
      <c r="AP49" s="28" t="s">
        <v>350</v>
      </c>
      <c r="AQ49" s="28"/>
      <c r="AR49" s="28"/>
      <c r="AS49" s="28"/>
      <c r="AT49" s="28"/>
      <c r="AU49" s="28" t="s">
        <v>142</v>
      </c>
      <c r="AV49" s="28"/>
      <c r="AW49" s="28"/>
      <c r="AX49" s="28" t="s">
        <v>403</v>
      </c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1" spans="1:64" x14ac:dyDescent="0.5">
      <c r="A51" s="29"/>
    </row>
    <row r="52" spans="1:64" x14ac:dyDescent="0.5">
      <c r="A52" s="26" t="s">
        <v>360</v>
      </c>
    </row>
    <row r="53" spans="1:64" x14ac:dyDescent="0.5">
      <c r="A53" s="28" t="s">
        <v>3</v>
      </c>
      <c r="B53" s="28" t="s">
        <v>166</v>
      </c>
      <c r="C53" s="28" t="s">
        <v>274</v>
      </c>
      <c r="D53" s="28" t="s">
        <v>273</v>
      </c>
      <c r="E53" s="28" t="s">
        <v>361</v>
      </c>
      <c r="F53" s="28" t="s">
        <v>362</v>
      </c>
      <c r="G53" s="28" t="s">
        <v>363</v>
      </c>
      <c r="H53" s="28" t="s">
        <v>364</v>
      </c>
      <c r="I53" s="28" t="s">
        <v>365</v>
      </c>
      <c r="J53" s="28" t="s">
        <v>366</v>
      </c>
      <c r="K53" s="28" t="s">
        <v>367</v>
      </c>
      <c r="L53" s="28" t="s">
        <v>368</v>
      </c>
      <c r="M53" s="28" t="s">
        <v>309</v>
      </c>
      <c r="N53" s="28" t="s">
        <v>369</v>
      </c>
      <c r="O53" s="28" t="s">
        <v>370</v>
      </c>
      <c r="P53" s="28" t="s">
        <v>371</v>
      </c>
      <c r="Q53" s="28" t="s">
        <v>372</v>
      </c>
      <c r="R53" s="28" t="s">
        <v>373</v>
      </c>
      <c r="S53" s="28" t="s">
        <v>374</v>
      </c>
    </row>
    <row r="54" spans="1:64" x14ac:dyDescent="0.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</row>
    <row r="55" spans="1:64" x14ac:dyDescent="0.5">
      <c r="A55" s="28" t="s">
        <v>419</v>
      </c>
      <c r="B55" s="28" t="s">
        <v>337</v>
      </c>
      <c r="C55" s="28" t="s">
        <v>376</v>
      </c>
      <c r="D55" s="28" t="s">
        <v>400</v>
      </c>
      <c r="E55" s="28" t="s">
        <v>377</v>
      </c>
      <c r="F55" s="28" t="s">
        <v>378</v>
      </c>
      <c r="G55" s="28" t="s">
        <v>379</v>
      </c>
      <c r="H55" s="28" t="s">
        <v>420</v>
      </c>
      <c r="I55" s="28" t="s">
        <v>421</v>
      </c>
      <c r="J55" s="28" t="s">
        <v>382</v>
      </c>
      <c r="K55" s="28" t="s">
        <v>422</v>
      </c>
      <c r="L55" s="28" t="s">
        <v>407</v>
      </c>
      <c r="M55" s="28" t="s">
        <v>109</v>
      </c>
      <c r="N55" s="28"/>
      <c r="O55" s="28"/>
      <c r="P55" s="28" t="s">
        <v>384</v>
      </c>
      <c r="Q55" s="28" t="s">
        <v>420</v>
      </c>
      <c r="R55" s="28" t="s">
        <v>421</v>
      </c>
      <c r="S55" s="28" t="s">
        <v>423</v>
      </c>
    </row>
    <row r="56" spans="1:64" x14ac:dyDescent="0.5">
      <c r="A56" s="28" t="s">
        <v>424</v>
      </c>
      <c r="B56" s="28" t="s">
        <v>352</v>
      </c>
      <c r="C56" s="28" t="s">
        <v>353</v>
      </c>
      <c r="D56" s="28" t="s">
        <v>409</v>
      </c>
      <c r="E56" s="28" t="s">
        <v>377</v>
      </c>
      <c r="F56" s="28" t="s">
        <v>378</v>
      </c>
      <c r="G56" s="28" t="s">
        <v>379</v>
      </c>
      <c r="H56" s="28" t="s">
        <v>420</v>
      </c>
      <c r="I56" s="28" t="s">
        <v>421</v>
      </c>
      <c r="J56" s="28" t="s">
        <v>382</v>
      </c>
      <c r="K56" s="28" t="s">
        <v>422</v>
      </c>
      <c r="L56" s="28" t="s">
        <v>407</v>
      </c>
      <c r="M56" s="28" t="s">
        <v>109</v>
      </c>
      <c r="N56" s="28"/>
      <c r="O56" s="28"/>
      <c r="P56" s="28" t="s">
        <v>384</v>
      </c>
      <c r="Q56" s="28" t="s">
        <v>420</v>
      </c>
      <c r="R56" s="28" t="s">
        <v>421</v>
      </c>
      <c r="S56" s="28" t="s">
        <v>423</v>
      </c>
    </row>
    <row r="57" spans="1:64" x14ac:dyDescent="0.5">
      <c r="A57" s="28" t="s">
        <v>425</v>
      </c>
      <c r="B57" s="28" t="s">
        <v>337</v>
      </c>
      <c r="C57" s="28" t="s">
        <v>338</v>
      </c>
      <c r="D57" s="28" t="s">
        <v>400</v>
      </c>
      <c r="E57" s="28" t="s">
        <v>426</v>
      </c>
      <c r="F57" s="28" t="s">
        <v>378</v>
      </c>
      <c r="G57" s="28" t="s">
        <v>379</v>
      </c>
      <c r="H57" s="28" t="s">
        <v>420</v>
      </c>
      <c r="I57" s="28" t="s">
        <v>427</v>
      </c>
      <c r="J57" s="28" t="s">
        <v>382</v>
      </c>
      <c r="K57" s="28" t="s">
        <v>428</v>
      </c>
      <c r="L57" s="28" t="s">
        <v>407</v>
      </c>
      <c r="M57" s="28" t="s">
        <v>143</v>
      </c>
      <c r="N57" s="28"/>
      <c r="O57" s="28"/>
      <c r="P57" s="28" t="s">
        <v>384</v>
      </c>
      <c r="Q57" s="28" t="s">
        <v>420</v>
      </c>
      <c r="R57" s="28" t="s">
        <v>427</v>
      </c>
      <c r="S57" s="28" t="s">
        <v>429</v>
      </c>
    </row>
    <row r="58" spans="1:64" x14ac:dyDescent="0.5">
      <c r="A58" s="28" t="s">
        <v>430</v>
      </c>
      <c r="B58" s="28" t="s">
        <v>352</v>
      </c>
      <c r="C58" s="28" t="s">
        <v>353</v>
      </c>
      <c r="D58" s="28" t="s">
        <v>409</v>
      </c>
      <c r="E58" s="28" t="s">
        <v>426</v>
      </c>
      <c r="F58" s="28" t="s">
        <v>378</v>
      </c>
      <c r="G58" s="28" t="s">
        <v>379</v>
      </c>
      <c r="H58" s="28" t="s">
        <v>420</v>
      </c>
      <c r="I58" s="28" t="s">
        <v>427</v>
      </c>
      <c r="J58" s="28" t="s">
        <v>382</v>
      </c>
      <c r="K58" s="28" t="s">
        <v>428</v>
      </c>
      <c r="L58" s="28" t="s">
        <v>407</v>
      </c>
      <c r="M58" s="28" t="s">
        <v>143</v>
      </c>
      <c r="N58" s="28"/>
      <c r="O58" s="28"/>
      <c r="P58" s="28" t="s">
        <v>384</v>
      </c>
      <c r="Q58" s="28" t="s">
        <v>420</v>
      </c>
      <c r="R58" s="28" t="s">
        <v>427</v>
      </c>
      <c r="S58" s="28" t="s">
        <v>429</v>
      </c>
    </row>
    <row r="59" spans="1:64" x14ac:dyDescent="0.5">
      <c r="A59" s="28" t="s">
        <v>431</v>
      </c>
      <c r="B59" s="28" t="s">
        <v>337</v>
      </c>
      <c r="C59" s="28" t="s">
        <v>338</v>
      </c>
      <c r="D59" s="28" t="s">
        <v>400</v>
      </c>
      <c r="E59" s="28" t="s">
        <v>426</v>
      </c>
      <c r="F59" s="28" t="s">
        <v>378</v>
      </c>
      <c r="G59" s="28" t="s">
        <v>379</v>
      </c>
      <c r="H59" s="28" t="s">
        <v>420</v>
      </c>
      <c r="I59" s="28" t="s">
        <v>427</v>
      </c>
      <c r="J59" s="28" t="s">
        <v>382</v>
      </c>
      <c r="K59" s="28" t="s">
        <v>432</v>
      </c>
      <c r="L59" s="28" t="s">
        <v>357</v>
      </c>
      <c r="M59" s="28" t="s">
        <v>143</v>
      </c>
      <c r="N59" s="28" t="s">
        <v>433</v>
      </c>
      <c r="O59" s="28"/>
      <c r="P59" s="28" t="s">
        <v>384</v>
      </c>
      <c r="Q59" s="28" t="s">
        <v>420</v>
      </c>
      <c r="R59" s="28" t="s">
        <v>427</v>
      </c>
      <c r="S59" s="28" t="s">
        <v>434</v>
      </c>
    </row>
    <row r="62" spans="1:64" x14ac:dyDescent="0.5">
      <c r="A62" s="25" t="s">
        <v>435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4" spans="1:64" x14ac:dyDescent="0.5">
      <c r="A64" s="27" t="s">
        <v>271</v>
      </c>
      <c r="B64" s="27"/>
      <c r="C64" s="27"/>
      <c r="D64" s="27"/>
    </row>
    <row r="65" spans="1:64" x14ac:dyDescent="0.5">
      <c r="A65" s="26" t="s">
        <v>272</v>
      </c>
    </row>
    <row r="66" spans="1:64" x14ac:dyDescent="0.5">
      <c r="A66" s="28" t="s">
        <v>273</v>
      </c>
      <c r="B66" s="28" t="s">
        <v>166</v>
      </c>
      <c r="C66" s="28" t="s">
        <v>274</v>
      </c>
      <c r="D66" s="28" t="s">
        <v>275</v>
      </c>
      <c r="E66" s="28" t="s">
        <v>276</v>
      </c>
      <c r="F66" s="28" t="s">
        <v>277</v>
      </c>
      <c r="G66" s="28" t="s">
        <v>278</v>
      </c>
      <c r="H66" s="28" t="s">
        <v>279</v>
      </c>
      <c r="I66" s="28" t="s">
        <v>280</v>
      </c>
      <c r="J66" s="28" t="s">
        <v>281</v>
      </c>
      <c r="K66" s="28" t="s">
        <v>282</v>
      </c>
      <c r="L66" s="28" t="s">
        <v>283</v>
      </c>
      <c r="M66" s="28" t="s">
        <v>284</v>
      </c>
      <c r="N66" s="28" t="s">
        <v>285</v>
      </c>
      <c r="O66" s="28" t="s">
        <v>286</v>
      </c>
      <c r="P66" s="28" t="s">
        <v>287</v>
      </c>
      <c r="Q66" s="28" t="s">
        <v>288</v>
      </c>
      <c r="R66" s="28" t="s">
        <v>289</v>
      </c>
      <c r="S66" s="28" t="s">
        <v>290</v>
      </c>
      <c r="T66" s="28" t="s">
        <v>291</v>
      </c>
      <c r="U66" s="28" t="s">
        <v>292</v>
      </c>
      <c r="V66" s="28" t="s">
        <v>293</v>
      </c>
      <c r="W66" s="28" t="s">
        <v>294</v>
      </c>
      <c r="X66" s="28" t="s">
        <v>295</v>
      </c>
      <c r="Y66" s="28" t="s">
        <v>296</v>
      </c>
      <c r="Z66" s="28" t="s">
        <v>297</v>
      </c>
      <c r="AA66" s="28" t="s">
        <v>298</v>
      </c>
      <c r="AB66" s="28" t="s">
        <v>299</v>
      </c>
      <c r="AC66" s="28" t="s">
        <v>300</v>
      </c>
      <c r="AD66" s="28" t="s">
        <v>301</v>
      </c>
      <c r="AE66" s="28" t="s">
        <v>302</v>
      </c>
      <c r="AF66" s="28" t="s">
        <v>303</v>
      </c>
      <c r="AG66" s="28" t="s">
        <v>304</v>
      </c>
      <c r="AH66" s="28" t="s">
        <v>305</v>
      </c>
      <c r="AI66" s="28" t="s">
        <v>306</v>
      </c>
      <c r="AJ66" s="28" t="s">
        <v>307</v>
      </c>
      <c r="AK66" s="28" t="s">
        <v>308</v>
      </c>
      <c r="AL66" s="28" t="s">
        <v>309</v>
      </c>
      <c r="AM66" s="28" t="s">
        <v>310</v>
      </c>
      <c r="AN66" s="28" t="s">
        <v>311</v>
      </c>
      <c r="AO66" s="28" t="s">
        <v>312</v>
      </c>
      <c r="AP66" s="28" t="s">
        <v>313</v>
      </c>
      <c r="AQ66" s="28" t="s">
        <v>314</v>
      </c>
      <c r="AR66" s="28" t="s">
        <v>315</v>
      </c>
      <c r="AS66" s="28" t="s">
        <v>316</v>
      </c>
      <c r="AT66" s="28" t="s">
        <v>317</v>
      </c>
      <c r="AU66" s="28" t="s">
        <v>318</v>
      </c>
      <c r="AV66" s="28" t="s">
        <v>319</v>
      </c>
      <c r="AW66" s="28" t="s">
        <v>320</v>
      </c>
      <c r="AX66" s="28" t="s">
        <v>321</v>
      </c>
      <c r="AY66" s="28" t="s">
        <v>322</v>
      </c>
      <c r="AZ66" s="28" t="s">
        <v>323</v>
      </c>
      <c r="BA66" s="28" t="s">
        <v>324</v>
      </c>
      <c r="BB66" s="28" t="s">
        <v>325</v>
      </c>
      <c r="BC66" s="28" t="s">
        <v>326</v>
      </c>
      <c r="BD66" s="28" t="s">
        <v>327</v>
      </c>
      <c r="BE66" s="28" t="s">
        <v>328</v>
      </c>
      <c r="BF66" s="28" t="s">
        <v>329</v>
      </c>
      <c r="BG66" s="28" t="s">
        <v>330</v>
      </c>
      <c r="BH66" s="28" t="s">
        <v>331</v>
      </c>
      <c r="BI66" s="28" t="s">
        <v>332</v>
      </c>
      <c r="BJ66" s="28" t="s">
        <v>333</v>
      </c>
      <c r="BK66" s="28" t="s">
        <v>334</v>
      </c>
      <c r="BL66" s="28" t="s">
        <v>335</v>
      </c>
    </row>
    <row r="67" spans="1:64" x14ac:dyDescent="0.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x14ac:dyDescent="0.5">
      <c r="A68" s="28" t="s">
        <v>436</v>
      </c>
      <c r="B68" s="28" t="s">
        <v>337</v>
      </c>
      <c r="C68" s="28" t="s">
        <v>338</v>
      </c>
      <c r="D68" s="28" t="s">
        <v>339</v>
      </c>
      <c r="E68" s="28" t="s">
        <v>109</v>
      </c>
      <c r="F68" s="28"/>
      <c r="G68" s="28" t="s">
        <v>437</v>
      </c>
      <c r="H68" s="28" t="s">
        <v>115</v>
      </c>
      <c r="I68" s="28" t="s">
        <v>340</v>
      </c>
      <c r="J68" s="28" t="s">
        <v>338</v>
      </c>
      <c r="K68" s="28" t="s">
        <v>437</v>
      </c>
      <c r="L68" s="28" t="s">
        <v>341</v>
      </c>
      <c r="M68" s="28" t="s">
        <v>342</v>
      </c>
      <c r="N68" s="28" t="s">
        <v>438</v>
      </c>
      <c r="O68" s="28"/>
      <c r="P68" s="28"/>
      <c r="Q68" s="28"/>
      <c r="R68" s="28"/>
      <c r="S68" s="28"/>
      <c r="T68" s="28"/>
      <c r="U68" s="28"/>
      <c r="V68" s="28" t="s">
        <v>439</v>
      </c>
      <c r="W68" s="28" t="s">
        <v>440</v>
      </c>
      <c r="X68" s="28" t="s">
        <v>346</v>
      </c>
      <c r="Y68" s="28" t="s">
        <v>347</v>
      </c>
      <c r="Z68" s="28"/>
      <c r="AA68" s="28"/>
      <c r="AB68" s="28"/>
      <c r="AC68" s="28"/>
      <c r="AD68" s="28" t="s">
        <v>109</v>
      </c>
      <c r="AE68" s="28"/>
      <c r="AF68" s="28"/>
      <c r="AG68" s="28" t="s">
        <v>112</v>
      </c>
      <c r="AH68" s="28" t="s">
        <v>143</v>
      </c>
      <c r="AI68" s="28"/>
      <c r="AJ68" s="28"/>
      <c r="AK68" s="28" t="s">
        <v>108</v>
      </c>
      <c r="AL68" s="28" t="s">
        <v>143</v>
      </c>
      <c r="AM68" s="28" t="s">
        <v>441</v>
      </c>
      <c r="AN68" s="28" t="s">
        <v>349</v>
      </c>
      <c r="AO68" s="28"/>
      <c r="AP68" s="28" t="s">
        <v>350</v>
      </c>
      <c r="AQ68" s="28"/>
      <c r="AR68" s="28"/>
      <c r="AS68" s="28"/>
      <c r="AT68" s="28"/>
      <c r="AU68" s="28" t="s">
        <v>142</v>
      </c>
      <c r="AV68" s="28"/>
      <c r="AW68" s="28"/>
      <c r="AX68" s="28" t="s">
        <v>340</v>
      </c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x14ac:dyDescent="0.5">
      <c r="A69" s="28" t="s">
        <v>442</v>
      </c>
      <c r="B69" s="28" t="s">
        <v>352</v>
      </c>
      <c r="C69" s="28" t="s">
        <v>353</v>
      </c>
      <c r="D69" s="28" t="s">
        <v>339</v>
      </c>
      <c r="E69" s="28" t="s">
        <v>109</v>
      </c>
      <c r="F69" s="28"/>
      <c r="G69" s="28" t="s">
        <v>443</v>
      </c>
      <c r="H69" s="28" t="s">
        <v>115</v>
      </c>
      <c r="I69" s="28" t="s">
        <v>340</v>
      </c>
      <c r="J69" s="28" t="s">
        <v>352</v>
      </c>
      <c r="K69" s="28" t="s">
        <v>443</v>
      </c>
      <c r="L69" s="28" t="s">
        <v>341</v>
      </c>
      <c r="M69" s="28" t="s">
        <v>354</v>
      </c>
      <c r="N69" s="28" t="s">
        <v>413</v>
      </c>
      <c r="O69" s="28"/>
      <c r="P69" s="28"/>
      <c r="Q69" s="28"/>
      <c r="R69" s="28"/>
      <c r="S69" s="28"/>
      <c r="T69" s="28"/>
      <c r="U69" s="28"/>
      <c r="V69" s="28" t="s">
        <v>355</v>
      </c>
      <c r="W69" s="28" t="s">
        <v>338</v>
      </c>
      <c r="X69" s="28" t="s">
        <v>436</v>
      </c>
      <c r="Y69" s="28"/>
      <c r="Z69" s="28"/>
      <c r="AA69" s="28"/>
      <c r="AB69" s="28"/>
      <c r="AC69" s="28"/>
      <c r="AD69" s="28" t="s">
        <v>109</v>
      </c>
      <c r="AE69" s="28"/>
      <c r="AF69" s="28"/>
      <c r="AG69" s="28" t="s">
        <v>112</v>
      </c>
      <c r="AH69" s="28" t="s">
        <v>143</v>
      </c>
      <c r="AI69" s="28"/>
      <c r="AJ69" s="28"/>
      <c r="AK69" s="28" t="s">
        <v>108</v>
      </c>
      <c r="AL69" s="28" t="s">
        <v>143</v>
      </c>
      <c r="AM69" s="28" t="s">
        <v>441</v>
      </c>
      <c r="AN69" s="28" t="s">
        <v>349</v>
      </c>
      <c r="AO69" s="28"/>
      <c r="AP69" s="28" t="s">
        <v>350</v>
      </c>
      <c r="AQ69" s="28"/>
      <c r="AR69" s="28"/>
      <c r="AS69" s="28"/>
      <c r="AT69" s="28"/>
      <c r="AU69" s="28" t="s">
        <v>142</v>
      </c>
      <c r="AV69" s="28"/>
      <c r="AW69" s="28"/>
      <c r="AX69" s="28" t="s">
        <v>340</v>
      </c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x14ac:dyDescent="0.5">
      <c r="A70" s="28" t="s">
        <v>444</v>
      </c>
      <c r="B70" s="28" t="s">
        <v>337</v>
      </c>
      <c r="C70" s="28" t="s">
        <v>338</v>
      </c>
      <c r="D70" s="28" t="s">
        <v>339</v>
      </c>
      <c r="E70" s="28" t="s">
        <v>109</v>
      </c>
      <c r="F70" s="28"/>
      <c r="G70" s="28"/>
      <c r="H70" s="28" t="s">
        <v>445</v>
      </c>
      <c r="I70" s="28" t="s">
        <v>340</v>
      </c>
      <c r="J70" s="28" t="s">
        <v>338</v>
      </c>
      <c r="K70" s="28"/>
      <c r="L70" s="28" t="s">
        <v>341</v>
      </c>
      <c r="M70" s="28" t="s">
        <v>446</v>
      </c>
      <c r="N70" s="28" t="s">
        <v>438</v>
      </c>
      <c r="O70" s="28"/>
      <c r="P70" s="28"/>
      <c r="Q70" s="28"/>
      <c r="R70" s="28"/>
      <c r="S70" s="28"/>
      <c r="T70" s="28"/>
      <c r="U70" s="28"/>
      <c r="V70" s="28" t="s">
        <v>439</v>
      </c>
      <c r="W70" s="28" t="s">
        <v>440</v>
      </c>
      <c r="X70" s="28" t="s">
        <v>346</v>
      </c>
      <c r="Y70" s="28" t="s">
        <v>347</v>
      </c>
      <c r="Z70" s="28"/>
      <c r="AA70" s="28"/>
      <c r="AB70" s="28"/>
      <c r="AC70" s="28"/>
      <c r="AD70" s="28" t="s">
        <v>109</v>
      </c>
      <c r="AE70" s="28" t="s">
        <v>436</v>
      </c>
      <c r="AF70" s="28" t="s">
        <v>447</v>
      </c>
      <c r="AG70" s="28"/>
      <c r="AH70" s="28" t="s">
        <v>143</v>
      </c>
      <c r="AI70" s="28"/>
      <c r="AJ70" s="28"/>
      <c r="AK70" s="28" t="s">
        <v>448</v>
      </c>
      <c r="AL70" s="28" t="s">
        <v>449</v>
      </c>
      <c r="AM70" s="28" t="s">
        <v>441</v>
      </c>
      <c r="AN70" s="28" t="s">
        <v>349</v>
      </c>
      <c r="AO70" s="28"/>
      <c r="AP70" s="28" t="s">
        <v>350</v>
      </c>
      <c r="AQ70" s="28"/>
      <c r="AR70" s="28"/>
      <c r="AS70" s="28"/>
      <c r="AT70" s="28"/>
      <c r="AU70" s="28" t="s">
        <v>142</v>
      </c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x14ac:dyDescent="0.5">
      <c r="A71" s="28" t="s">
        <v>450</v>
      </c>
      <c r="B71" s="28" t="s">
        <v>352</v>
      </c>
      <c r="C71" s="28" t="s">
        <v>353</v>
      </c>
      <c r="D71" s="28" t="s">
        <v>339</v>
      </c>
      <c r="E71" s="28" t="s">
        <v>109</v>
      </c>
      <c r="F71" s="28"/>
      <c r="G71" s="28"/>
      <c r="H71" s="28" t="s">
        <v>445</v>
      </c>
      <c r="I71" s="28" t="s">
        <v>340</v>
      </c>
      <c r="J71" s="28" t="s">
        <v>352</v>
      </c>
      <c r="K71" s="28"/>
      <c r="L71" s="28" t="s">
        <v>341</v>
      </c>
      <c r="M71" s="28" t="s">
        <v>451</v>
      </c>
      <c r="N71" s="28" t="s">
        <v>413</v>
      </c>
      <c r="O71" s="28"/>
      <c r="P71" s="28"/>
      <c r="Q71" s="28"/>
      <c r="R71" s="28"/>
      <c r="S71" s="28"/>
      <c r="T71" s="28"/>
      <c r="U71" s="28"/>
      <c r="V71" s="28" t="s">
        <v>355</v>
      </c>
      <c r="W71" s="28" t="s">
        <v>338</v>
      </c>
      <c r="X71" s="28" t="s">
        <v>436</v>
      </c>
      <c r="Y71" s="28"/>
      <c r="Z71" s="28"/>
      <c r="AA71" s="28"/>
      <c r="AB71" s="28"/>
      <c r="AC71" s="28"/>
      <c r="AD71" s="28" t="s">
        <v>109</v>
      </c>
      <c r="AE71" s="28" t="s">
        <v>442</v>
      </c>
      <c r="AF71" s="28" t="s">
        <v>447</v>
      </c>
      <c r="AG71" s="28"/>
      <c r="AH71" s="28" t="s">
        <v>143</v>
      </c>
      <c r="AI71" s="28"/>
      <c r="AJ71" s="28"/>
      <c r="AK71" s="28" t="s">
        <v>448</v>
      </c>
      <c r="AL71" s="28" t="s">
        <v>449</v>
      </c>
      <c r="AM71" s="28" t="s">
        <v>441</v>
      </c>
      <c r="AN71" s="28" t="s">
        <v>349</v>
      </c>
      <c r="AO71" s="28"/>
      <c r="AP71" s="28" t="s">
        <v>350</v>
      </c>
      <c r="AQ71" s="28"/>
      <c r="AR71" s="28"/>
      <c r="AS71" s="28"/>
      <c r="AT71" s="28"/>
      <c r="AU71" s="28" t="s">
        <v>142</v>
      </c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4" spans="1:64" x14ac:dyDescent="0.5">
      <c r="A74" s="27" t="s">
        <v>356</v>
      </c>
      <c r="B74" s="27"/>
      <c r="C74" s="27"/>
      <c r="D74" s="27"/>
    </row>
    <row r="75" spans="1:64" x14ac:dyDescent="0.5">
      <c r="A75" s="26" t="s">
        <v>272</v>
      </c>
    </row>
    <row r="76" spans="1:64" x14ac:dyDescent="0.5">
      <c r="A76" s="28" t="s">
        <v>273</v>
      </c>
      <c r="B76" s="28" t="s">
        <v>166</v>
      </c>
      <c r="C76" s="28" t="s">
        <v>274</v>
      </c>
      <c r="D76" s="28" t="s">
        <v>275</v>
      </c>
      <c r="E76" s="28" t="s">
        <v>276</v>
      </c>
      <c r="F76" s="28" t="s">
        <v>277</v>
      </c>
      <c r="G76" s="28" t="s">
        <v>278</v>
      </c>
      <c r="H76" s="28" t="s">
        <v>279</v>
      </c>
      <c r="I76" s="28" t="s">
        <v>280</v>
      </c>
      <c r="J76" s="28" t="s">
        <v>281</v>
      </c>
      <c r="K76" s="28" t="s">
        <v>282</v>
      </c>
      <c r="L76" s="28" t="s">
        <v>283</v>
      </c>
      <c r="M76" s="28" t="s">
        <v>284</v>
      </c>
      <c r="N76" s="28" t="s">
        <v>285</v>
      </c>
      <c r="O76" s="28" t="s">
        <v>286</v>
      </c>
      <c r="P76" s="28" t="s">
        <v>287</v>
      </c>
      <c r="Q76" s="28" t="s">
        <v>288</v>
      </c>
      <c r="R76" s="28" t="s">
        <v>289</v>
      </c>
      <c r="S76" s="28" t="s">
        <v>290</v>
      </c>
      <c r="T76" s="28" t="s">
        <v>291</v>
      </c>
      <c r="U76" s="28" t="s">
        <v>292</v>
      </c>
      <c r="V76" s="28" t="s">
        <v>293</v>
      </c>
      <c r="W76" s="28" t="s">
        <v>294</v>
      </c>
      <c r="X76" s="28" t="s">
        <v>295</v>
      </c>
      <c r="Y76" s="28" t="s">
        <v>296</v>
      </c>
      <c r="Z76" s="28" t="s">
        <v>297</v>
      </c>
      <c r="AA76" s="28" t="s">
        <v>298</v>
      </c>
      <c r="AB76" s="28" t="s">
        <v>299</v>
      </c>
      <c r="AC76" s="28" t="s">
        <v>300</v>
      </c>
      <c r="AD76" s="28" t="s">
        <v>301</v>
      </c>
      <c r="AE76" s="28" t="s">
        <v>302</v>
      </c>
      <c r="AF76" s="28" t="s">
        <v>303</v>
      </c>
      <c r="AG76" s="28" t="s">
        <v>304</v>
      </c>
      <c r="AH76" s="28" t="s">
        <v>305</v>
      </c>
      <c r="AI76" s="28" t="s">
        <v>306</v>
      </c>
      <c r="AJ76" s="28" t="s">
        <v>307</v>
      </c>
      <c r="AK76" s="28" t="s">
        <v>308</v>
      </c>
      <c r="AL76" s="28" t="s">
        <v>309</v>
      </c>
      <c r="AM76" s="28" t="s">
        <v>310</v>
      </c>
      <c r="AN76" s="28" t="s">
        <v>311</v>
      </c>
      <c r="AO76" s="28" t="s">
        <v>312</v>
      </c>
      <c r="AP76" s="28" t="s">
        <v>313</v>
      </c>
      <c r="AQ76" s="28" t="s">
        <v>314</v>
      </c>
      <c r="AR76" s="28" t="s">
        <v>315</v>
      </c>
      <c r="AS76" s="28" t="s">
        <v>316</v>
      </c>
      <c r="AT76" s="28" t="s">
        <v>317</v>
      </c>
      <c r="AU76" s="28" t="s">
        <v>318</v>
      </c>
      <c r="AV76" s="28" t="s">
        <v>319</v>
      </c>
      <c r="AW76" s="28" t="s">
        <v>320</v>
      </c>
      <c r="AX76" s="28" t="s">
        <v>321</v>
      </c>
      <c r="AY76" s="28" t="s">
        <v>322</v>
      </c>
      <c r="AZ76" s="28" t="s">
        <v>323</v>
      </c>
      <c r="BA76" s="28" t="s">
        <v>324</v>
      </c>
      <c r="BB76" s="28" t="s">
        <v>325</v>
      </c>
      <c r="BC76" s="28" t="s">
        <v>326</v>
      </c>
      <c r="BD76" s="28" t="s">
        <v>327</v>
      </c>
      <c r="BE76" s="28" t="s">
        <v>328</v>
      </c>
      <c r="BF76" s="28" t="s">
        <v>329</v>
      </c>
      <c r="BG76" s="28" t="s">
        <v>330</v>
      </c>
      <c r="BH76" s="28" t="s">
        <v>331</v>
      </c>
      <c r="BI76" s="28" t="s">
        <v>332</v>
      </c>
      <c r="BJ76" s="28" t="s">
        <v>333</v>
      </c>
      <c r="BK76" s="28" t="s">
        <v>334</v>
      </c>
      <c r="BL76" s="28" t="s">
        <v>335</v>
      </c>
    </row>
    <row r="77" spans="1:64" x14ac:dyDescent="0.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x14ac:dyDescent="0.5">
      <c r="A78" s="28" t="s">
        <v>436</v>
      </c>
      <c r="B78" s="28" t="s">
        <v>337</v>
      </c>
      <c r="C78" s="28" t="s">
        <v>338</v>
      </c>
      <c r="D78" s="28" t="s">
        <v>339</v>
      </c>
      <c r="E78" s="28" t="s">
        <v>109</v>
      </c>
      <c r="F78" s="28"/>
      <c r="G78" s="28" t="s">
        <v>437</v>
      </c>
      <c r="H78" s="28" t="s">
        <v>115</v>
      </c>
      <c r="I78" s="28" t="s">
        <v>340</v>
      </c>
      <c r="J78" s="28" t="s">
        <v>338</v>
      </c>
      <c r="K78" s="28" t="s">
        <v>437</v>
      </c>
      <c r="L78" s="28" t="s">
        <v>341</v>
      </c>
      <c r="M78" s="28" t="s">
        <v>342</v>
      </c>
      <c r="N78" s="28" t="s">
        <v>438</v>
      </c>
      <c r="O78" s="28"/>
      <c r="P78" s="28"/>
      <c r="Q78" s="28"/>
      <c r="R78" s="28"/>
      <c r="S78" s="28"/>
      <c r="T78" s="28"/>
      <c r="U78" s="28"/>
      <c r="V78" s="28" t="s">
        <v>439</v>
      </c>
      <c r="W78" s="28" t="s">
        <v>440</v>
      </c>
      <c r="X78" s="28" t="s">
        <v>346</v>
      </c>
      <c r="Y78" s="28" t="s">
        <v>347</v>
      </c>
      <c r="Z78" s="28"/>
      <c r="AA78" s="28"/>
      <c r="AB78" s="28"/>
      <c r="AC78" s="28"/>
      <c r="AD78" s="28" t="s">
        <v>109</v>
      </c>
      <c r="AE78" s="28"/>
      <c r="AF78" s="28"/>
      <c r="AG78" s="28" t="s">
        <v>112</v>
      </c>
      <c r="AH78" s="28" t="s">
        <v>143</v>
      </c>
      <c r="AI78" s="28"/>
      <c r="AJ78" s="28"/>
      <c r="AK78" s="28" t="s">
        <v>108</v>
      </c>
      <c r="AL78" s="28" t="s">
        <v>143</v>
      </c>
      <c r="AM78" s="28" t="s">
        <v>441</v>
      </c>
      <c r="AN78" s="28" t="s">
        <v>349</v>
      </c>
      <c r="AO78" s="28"/>
      <c r="AP78" s="28" t="s">
        <v>350</v>
      </c>
      <c r="AQ78" s="28"/>
      <c r="AR78" s="28"/>
      <c r="AS78" s="28"/>
      <c r="AT78" s="28"/>
      <c r="AU78" s="28" t="s">
        <v>142</v>
      </c>
      <c r="AV78" s="28"/>
      <c r="AW78" s="28"/>
      <c r="AX78" s="28" t="s">
        <v>340</v>
      </c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x14ac:dyDescent="0.5">
      <c r="A79" s="28" t="s">
        <v>442</v>
      </c>
      <c r="B79" s="28" t="s">
        <v>352</v>
      </c>
      <c r="C79" s="28" t="s">
        <v>353</v>
      </c>
      <c r="D79" s="28" t="s">
        <v>339</v>
      </c>
      <c r="E79" s="28" t="s">
        <v>109</v>
      </c>
      <c r="F79" s="28"/>
      <c r="G79" s="28" t="s">
        <v>443</v>
      </c>
      <c r="H79" s="28" t="s">
        <v>115</v>
      </c>
      <c r="I79" s="28" t="s">
        <v>340</v>
      </c>
      <c r="J79" s="28" t="s">
        <v>352</v>
      </c>
      <c r="K79" s="28" t="s">
        <v>443</v>
      </c>
      <c r="L79" s="28" t="s">
        <v>341</v>
      </c>
      <c r="M79" s="28" t="s">
        <v>354</v>
      </c>
      <c r="N79" s="28" t="s">
        <v>413</v>
      </c>
      <c r="O79" s="28"/>
      <c r="P79" s="28"/>
      <c r="Q79" s="28"/>
      <c r="R79" s="28"/>
      <c r="S79" s="28"/>
      <c r="T79" s="28"/>
      <c r="U79" s="28"/>
      <c r="V79" s="28" t="s">
        <v>355</v>
      </c>
      <c r="W79" s="28" t="s">
        <v>338</v>
      </c>
      <c r="X79" s="28" t="s">
        <v>436</v>
      </c>
      <c r="Y79" s="28"/>
      <c r="Z79" s="28"/>
      <c r="AA79" s="28"/>
      <c r="AB79" s="28"/>
      <c r="AC79" s="28"/>
      <c r="AD79" s="28" t="s">
        <v>109</v>
      </c>
      <c r="AE79" s="28"/>
      <c r="AF79" s="28"/>
      <c r="AG79" s="28" t="s">
        <v>112</v>
      </c>
      <c r="AH79" s="28" t="s">
        <v>143</v>
      </c>
      <c r="AI79" s="28"/>
      <c r="AJ79" s="28"/>
      <c r="AK79" s="28" t="s">
        <v>108</v>
      </c>
      <c r="AL79" s="28" t="s">
        <v>143</v>
      </c>
      <c r="AM79" s="28" t="s">
        <v>441</v>
      </c>
      <c r="AN79" s="28" t="s">
        <v>349</v>
      </c>
      <c r="AO79" s="28"/>
      <c r="AP79" s="28" t="s">
        <v>350</v>
      </c>
      <c r="AQ79" s="28"/>
      <c r="AR79" s="28"/>
      <c r="AS79" s="28"/>
      <c r="AT79" s="28"/>
      <c r="AU79" s="28" t="s">
        <v>142</v>
      </c>
      <c r="AV79" s="28"/>
      <c r="AW79" s="28"/>
      <c r="AX79" s="28" t="s">
        <v>340</v>
      </c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x14ac:dyDescent="0.5">
      <c r="A80" s="28" t="s">
        <v>444</v>
      </c>
      <c r="B80" s="28" t="s">
        <v>337</v>
      </c>
      <c r="C80" s="28" t="s">
        <v>338</v>
      </c>
      <c r="D80" s="28" t="s">
        <v>339</v>
      </c>
      <c r="E80" s="28" t="s">
        <v>109</v>
      </c>
      <c r="F80" s="28"/>
      <c r="G80" s="28"/>
      <c r="H80" s="28" t="s">
        <v>445</v>
      </c>
      <c r="I80" s="28" t="s">
        <v>340</v>
      </c>
      <c r="J80" s="28" t="s">
        <v>338</v>
      </c>
      <c r="K80" s="28"/>
      <c r="L80" s="28" t="s">
        <v>341</v>
      </c>
      <c r="M80" s="28" t="s">
        <v>446</v>
      </c>
      <c r="N80" s="28" t="s">
        <v>438</v>
      </c>
      <c r="O80" s="28"/>
      <c r="P80" s="28"/>
      <c r="Q80" s="28"/>
      <c r="R80" s="28"/>
      <c r="S80" s="28"/>
      <c r="T80" s="28"/>
      <c r="U80" s="28"/>
      <c r="V80" s="28" t="s">
        <v>439</v>
      </c>
      <c r="W80" s="28" t="s">
        <v>440</v>
      </c>
      <c r="X80" s="28" t="s">
        <v>346</v>
      </c>
      <c r="Y80" s="28" t="s">
        <v>347</v>
      </c>
      <c r="Z80" s="28"/>
      <c r="AA80" s="28"/>
      <c r="AB80" s="28"/>
      <c r="AC80" s="28"/>
      <c r="AD80" s="28" t="s">
        <v>109</v>
      </c>
      <c r="AE80" s="28" t="s">
        <v>436</v>
      </c>
      <c r="AF80" s="28" t="s">
        <v>447</v>
      </c>
      <c r="AG80" s="28" t="s">
        <v>357</v>
      </c>
      <c r="AH80" s="28" t="s">
        <v>143</v>
      </c>
      <c r="AI80" s="28"/>
      <c r="AJ80" s="28"/>
      <c r="AK80" s="28" t="s">
        <v>448</v>
      </c>
      <c r="AL80" s="28" t="s">
        <v>358</v>
      </c>
      <c r="AM80" s="28" t="s">
        <v>452</v>
      </c>
      <c r="AN80" s="28" t="s">
        <v>349</v>
      </c>
      <c r="AO80" s="28"/>
      <c r="AP80" s="28" t="s">
        <v>350</v>
      </c>
      <c r="AQ80" s="28"/>
      <c r="AR80" s="28"/>
      <c r="AS80" s="28"/>
      <c r="AT80" s="28"/>
      <c r="AU80" s="28" t="s">
        <v>142</v>
      </c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x14ac:dyDescent="0.5">
      <c r="A81" s="28" t="s">
        <v>450</v>
      </c>
      <c r="B81" s="28" t="s">
        <v>352</v>
      </c>
      <c r="C81" s="28" t="s">
        <v>353</v>
      </c>
      <c r="D81" s="28" t="s">
        <v>339</v>
      </c>
      <c r="E81" s="28" t="s">
        <v>109</v>
      </c>
      <c r="F81" s="28"/>
      <c r="G81" s="28"/>
      <c r="H81" s="28" t="s">
        <v>445</v>
      </c>
      <c r="I81" s="28" t="s">
        <v>340</v>
      </c>
      <c r="J81" s="28" t="s">
        <v>352</v>
      </c>
      <c r="K81" s="28"/>
      <c r="L81" s="28" t="s">
        <v>341</v>
      </c>
      <c r="M81" s="28" t="s">
        <v>451</v>
      </c>
      <c r="N81" s="28" t="s">
        <v>413</v>
      </c>
      <c r="O81" s="28"/>
      <c r="P81" s="28"/>
      <c r="Q81" s="28"/>
      <c r="R81" s="28"/>
      <c r="S81" s="28"/>
      <c r="T81" s="28"/>
      <c r="U81" s="28"/>
      <c r="V81" s="28" t="s">
        <v>355</v>
      </c>
      <c r="W81" s="28" t="s">
        <v>338</v>
      </c>
      <c r="X81" s="28" t="s">
        <v>436</v>
      </c>
      <c r="Y81" s="28"/>
      <c r="Z81" s="28"/>
      <c r="AA81" s="28"/>
      <c r="AB81" s="28"/>
      <c r="AC81" s="28"/>
      <c r="AD81" s="28" t="s">
        <v>109</v>
      </c>
      <c r="AE81" s="28" t="s">
        <v>442</v>
      </c>
      <c r="AF81" s="28" t="s">
        <v>447</v>
      </c>
      <c r="AG81" s="28"/>
      <c r="AH81" s="28" t="s">
        <v>143</v>
      </c>
      <c r="AI81" s="28"/>
      <c r="AJ81" s="28"/>
      <c r="AK81" s="28" t="s">
        <v>448</v>
      </c>
      <c r="AL81" s="28" t="s">
        <v>449</v>
      </c>
      <c r="AM81" s="28" t="s">
        <v>441</v>
      </c>
      <c r="AN81" s="28" t="s">
        <v>349</v>
      </c>
      <c r="AO81" s="28"/>
      <c r="AP81" s="28" t="s">
        <v>350</v>
      </c>
      <c r="AQ81" s="28"/>
      <c r="AR81" s="28"/>
      <c r="AS81" s="28"/>
      <c r="AT81" s="28"/>
      <c r="AU81" s="28" t="s">
        <v>142</v>
      </c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5" spans="1:64" x14ac:dyDescent="0.5">
      <c r="A85" s="26" t="s">
        <v>360</v>
      </c>
    </row>
    <row r="86" spans="1:64" x14ac:dyDescent="0.5">
      <c r="A86" s="28" t="s">
        <v>3</v>
      </c>
      <c r="B86" s="28" t="s">
        <v>166</v>
      </c>
      <c r="C86" s="28" t="s">
        <v>274</v>
      </c>
      <c r="D86" s="28" t="s">
        <v>273</v>
      </c>
      <c r="E86" s="28" t="s">
        <v>361</v>
      </c>
      <c r="F86" s="28" t="s">
        <v>362</v>
      </c>
      <c r="G86" s="28" t="s">
        <v>363</v>
      </c>
      <c r="H86" s="28" t="s">
        <v>364</v>
      </c>
      <c r="I86" s="28" t="s">
        <v>365</v>
      </c>
      <c r="J86" s="28" t="s">
        <v>366</v>
      </c>
      <c r="K86" s="28" t="s">
        <v>367</v>
      </c>
      <c r="L86" s="28" t="s">
        <v>368</v>
      </c>
      <c r="M86" s="28" t="s">
        <v>309</v>
      </c>
      <c r="N86" s="28" t="s">
        <v>369</v>
      </c>
      <c r="O86" s="28" t="s">
        <v>370</v>
      </c>
      <c r="P86" s="28" t="s">
        <v>371</v>
      </c>
      <c r="Q86" s="28" t="s">
        <v>372</v>
      </c>
      <c r="R86" s="28" t="s">
        <v>373</v>
      </c>
      <c r="S86" s="28" t="s">
        <v>374</v>
      </c>
    </row>
    <row r="87" spans="1:64" x14ac:dyDescent="0.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</row>
    <row r="88" spans="1:64" x14ac:dyDescent="0.5">
      <c r="A88" s="28" t="s">
        <v>453</v>
      </c>
      <c r="B88" s="28" t="s">
        <v>337</v>
      </c>
      <c r="C88" s="28" t="s">
        <v>376</v>
      </c>
      <c r="D88" s="28" t="s">
        <v>436</v>
      </c>
      <c r="E88" s="28" t="s">
        <v>377</v>
      </c>
      <c r="F88" s="28" t="s">
        <v>378</v>
      </c>
      <c r="G88" s="28" t="s">
        <v>379</v>
      </c>
      <c r="H88" s="28" t="s">
        <v>380</v>
      </c>
      <c r="I88" s="28" t="s">
        <v>381</v>
      </c>
      <c r="J88" s="28" t="s">
        <v>382</v>
      </c>
      <c r="K88" s="28" t="s">
        <v>454</v>
      </c>
      <c r="L88" s="28" t="s">
        <v>112</v>
      </c>
      <c r="M88" s="28" t="s">
        <v>109</v>
      </c>
      <c r="N88" s="28"/>
      <c r="O88" s="28"/>
      <c r="P88" s="28" t="s">
        <v>384</v>
      </c>
      <c r="Q88" s="28" t="s">
        <v>380</v>
      </c>
      <c r="R88" s="28" t="s">
        <v>381</v>
      </c>
      <c r="S88" s="28" t="s">
        <v>455</v>
      </c>
    </row>
    <row r="89" spans="1:64" x14ac:dyDescent="0.5">
      <c r="A89" s="28" t="s">
        <v>456</v>
      </c>
      <c r="B89" s="28" t="s">
        <v>352</v>
      </c>
      <c r="C89" s="28" t="s">
        <v>353</v>
      </c>
      <c r="D89" s="28" t="s">
        <v>442</v>
      </c>
      <c r="E89" s="28" t="s">
        <v>377</v>
      </c>
      <c r="F89" s="28" t="s">
        <v>378</v>
      </c>
      <c r="G89" s="28" t="s">
        <v>379</v>
      </c>
      <c r="H89" s="28" t="s">
        <v>380</v>
      </c>
      <c r="I89" s="28" t="s">
        <v>381</v>
      </c>
      <c r="J89" s="28" t="s">
        <v>382</v>
      </c>
      <c r="K89" s="28" t="s">
        <v>454</v>
      </c>
      <c r="L89" s="28" t="s">
        <v>112</v>
      </c>
      <c r="M89" s="28" t="s">
        <v>109</v>
      </c>
      <c r="N89" s="28"/>
      <c r="O89" s="28"/>
      <c r="P89" s="28" t="s">
        <v>384</v>
      </c>
      <c r="Q89" s="28" t="s">
        <v>380</v>
      </c>
      <c r="R89" s="28" t="s">
        <v>381</v>
      </c>
      <c r="S89" s="28" t="s">
        <v>455</v>
      </c>
    </row>
    <row r="90" spans="1:64" x14ac:dyDescent="0.5">
      <c r="A90" s="28" t="s">
        <v>457</v>
      </c>
      <c r="B90" s="28" t="s">
        <v>337</v>
      </c>
      <c r="C90" s="28" t="s">
        <v>338</v>
      </c>
      <c r="D90" s="28" t="s">
        <v>436</v>
      </c>
      <c r="E90" s="28" t="s">
        <v>426</v>
      </c>
      <c r="F90" s="28" t="s">
        <v>458</v>
      </c>
      <c r="G90" s="28" t="s">
        <v>459</v>
      </c>
      <c r="H90" s="28" t="s">
        <v>380</v>
      </c>
      <c r="I90" s="28" t="s">
        <v>381</v>
      </c>
      <c r="J90" s="28" t="s">
        <v>382</v>
      </c>
      <c r="K90" s="28" t="s">
        <v>460</v>
      </c>
      <c r="L90" s="28" t="s">
        <v>112</v>
      </c>
      <c r="M90" s="28" t="s">
        <v>112</v>
      </c>
      <c r="N90" s="28"/>
      <c r="O90" s="28"/>
      <c r="P90" s="28" t="s">
        <v>384</v>
      </c>
      <c r="Q90" s="28" t="s">
        <v>380</v>
      </c>
      <c r="R90" s="28" t="s">
        <v>381</v>
      </c>
      <c r="S90" s="28" t="s">
        <v>461</v>
      </c>
    </row>
    <row r="91" spans="1:64" x14ac:dyDescent="0.5">
      <c r="A91" s="28" t="s">
        <v>462</v>
      </c>
      <c r="B91" s="28" t="s">
        <v>352</v>
      </c>
      <c r="C91" s="28" t="s">
        <v>353</v>
      </c>
      <c r="D91" s="28" t="s">
        <v>442</v>
      </c>
      <c r="E91" s="28" t="s">
        <v>426</v>
      </c>
      <c r="F91" s="28" t="s">
        <v>458</v>
      </c>
      <c r="G91" s="28" t="s">
        <v>459</v>
      </c>
      <c r="H91" s="28" t="s">
        <v>380</v>
      </c>
      <c r="I91" s="28" t="s">
        <v>381</v>
      </c>
      <c r="J91" s="28" t="s">
        <v>382</v>
      </c>
      <c r="K91" s="28" t="s">
        <v>460</v>
      </c>
      <c r="L91" s="28" t="s">
        <v>112</v>
      </c>
      <c r="M91" s="28" t="s">
        <v>112</v>
      </c>
      <c r="N91" s="28"/>
      <c r="O91" s="28"/>
      <c r="P91" s="28" t="s">
        <v>384</v>
      </c>
      <c r="Q91" s="28" t="s">
        <v>380</v>
      </c>
      <c r="R91" s="28" t="s">
        <v>381</v>
      </c>
      <c r="S91" s="28" t="s">
        <v>461</v>
      </c>
    </row>
    <row r="92" spans="1:64" x14ac:dyDescent="0.5">
      <c r="A92" s="28" t="s">
        <v>463</v>
      </c>
      <c r="B92" s="28" t="s">
        <v>337</v>
      </c>
      <c r="C92" s="28" t="s">
        <v>338</v>
      </c>
      <c r="D92" s="28" t="s">
        <v>436</v>
      </c>
      <c r="E92" s="28" t="s">
        <v>426</v>
      </c>
      <c r="F92" s="28" t="s">
        <v>378</v>
      </c>
      <c r="G92" s="28" t="s">
        <v>379</v>
      </c>
      <c r="H92" s="28" t="s">
        <v>380</v>
      </c>
      <c r="I92" s="28" t="s">
        <v>381</v>
      </c>
      <c r="J92" s="28" t="s">
        <v>382</v>
      </c>
      <c r="K92" s="28" t="s">
        <v>464</v>
      </c>
      <c r="L92" s="28" t="s">
        <v>112</v>
      </c>
      <c r="M92" s="28" t="s">
        <v>143</v>
      </c>
      <c r="N92" s="28"/>
      <c r="O92" s="28"/>
      <c r="P92" s="28" t="s">
        <v>384</v>
      </c>
      <c r="Q92" s="28" t="s">
        <v>380</v>
      </c>
      <c r="R92" s="28" t="s">
        <v>381</v>
      </c>
      <c r="S92" s="28" t="s">
        <v>465</v>
      </c>
    </row>
    <row r="93" spans="1:64" x14ac:dyDescent="0.5">
      <c r="A93" s="28" t="s">
        <v>466</v>
      </c>
      <c r="B93" s="28" t="s">
        <v>352</v>
      </c>
      <c r="C93" s="28" t="s">
        <v>353</v>
      </c>
      <c r="D93" s="28" t="s">
        <v>442</v>
      </c>
      <c r="E93" s="28" t="s">
        <v>426</v>
      </c>
      <c r="F93" s="28" t="s">
        <v>378</v>
      </c>
      <c r="G93" s="28" t="s">
        <v>379</v>
      </c>
      <c r="H93" s="28" t="s">
        <v>380</v>
      </c>
      <c r="I93" s="28" t="s">
        <v>381</v>
      </c>
      <c r="J93" s="28" t="s">
        <v>382</v>
      </c>
      <c r="K93" s="28" t="s">
        <v>464</v>
      </c>
      <c r="L93" s="28" t="s">
        <v>112</v>
      </c>
      <c r="M93" s="28" t="s">
        <v>143</v>
      </c>
      <c r="N93" s="28"/>
      <c r="O93" s="28"/>
      <c r="P93" s="28" t="s">
        <v>384</v>
      </c>
      <c r="Q93" s="28" t="s">
        <v>380</v>
      </c>
      <c r="R93" s="28" t="s">
        <v>381</v>
      </c>
      <c r="S93" s="28" t="s">
        <v>465</v>
      </c>
    </row>
    <row r="94" spans="1:64" x14ac:dyDescent="0.5">
      <c r="A94" s="28" t="s">
        <v>467</v>
      </c>
      <c r="B94" s="28" t="s">
        <v>337</v>
      </c>
      <c r="C94" s="28" t="s">
        <v>338</v>
      </c>
      <c r="D94" s="28" t="s">
        <v>436</v>
      </c>
      <c r="E94" s="28" t="s">
        <v>468</v>
      </c>
      <c r="F94" s="28" t="s">
        <v>378</v>
      </c>
      <c r="G94" s="28" t="s">
        <v>379</v>
      </c>
      <c r="H94" s="28" t="s">
        <v>380</v>
      </c>
      <c r="I94" s="28" t="s">
        <v>381</v>
      </c>
      <c r="J94" s="28" t="s">
        <v>382</v>
      </c>
      <c r="K94" s="28" t="s">
        <v>469</v>
      </c>
      <c r="L94" s="28"/>
      <c r="M94" s="28" t="s">
        <v>449</v>
      </c>
      <c r="N94" s="28"/>
      <c r="O94" s="28"/>
      <c r="P94" s="28" t="s">
        <v>384</v>
      </c>
      <c r="Q94" s="28" t="s">
        <v>380</v>
      </c>
      <c r="R94" s="28" t="s">
        <v>381</v>
      </c>
      <c r="S94" s="28" t="s">
        <v>470</v>
      </c>
    </row>
    <row r="95" spans="1:64" x14ac:dyDescent="0.5">
      <c r="A95" s="28" t="s">
        <v>471</v>
      </c>
      <c r="B95" s="28" t="s">
        <v>352</v>
      </c>
      <c r="C95" s="28" t="s">
        <v>353</v>
      </c>
      <c r="D95" s="28" t="s">
        <v>442</v>
      </c>
      <c r="E95" s="28" t="s">
        <v>468</v>
      </c>
      <c r="F95" s="28" t="s">
        <v>378</v>
      </c>
      <c r="G95" s="28" t="s">
        <v>379</v>
      </c>
      <c r="H95" s="28" t="s">
        <v>380</v>
      </c>
      <c r="I95" s="28" t="s">
        <v>381</v>
      </c>
      <c r="J95" s="28" t="s">
        <v>382</v>
      </c>
      <c r="K95" s="28" t="s">
        <v>469</v>
      </c>
      <c r="L95" s="28"/>
      <c r="M95" s="28" t="s">
        <v>449</v>
      </c>
      <c r="N95" s="28"/>
      <c r="O95" s="28"/>
      <c r="P95" s="28" t="s">
        <v>384</v>
      </c>
      <c r="Q95" s="28" t="s">
        <v>380</v>
      </c>
      <c r="R95" s="28" t="s">
        <v>381</v>
      </c>
      <c r="S95" s="28" t="s">
        <v>470</v>
      </c>
    </row>
    <row r="96" spans="1:64" x14ac:dyDescent="0.5">
      <c r="A96" s="28" t="s">
        <v>472</v>
      </c>
      <c r="B96" s="28" t="s">
        <v>337</v>
      </c>
      <c r="C96" s="28" t="s">
        <v>338</v>
      </c>
      <c r="D96" s="28" t="s">
        <v>436</v>
      </c>
      <c r="E96" s="28" t="s">
        <v>473</v>
      </c>
      <c r="F96" s="28" t="s">
        <v>378</v>
      </c>
      <c r="G96" s="28" t="s">
        <v>379</v>
      </c>
      <c r="H96" s="28" t="s">
        <v>380</v>
      </c>
      <c r="I96" s="28" t="s">
        <v>381</v>
      </c>
      <c r="J96" s="28" t="s">
        <v>382</v>
      </c>
      <c r="K96" s="28" t="s">
        <v>474</v>
      </c>
      <c r="L96" s="28" t="s">
        <v>357</v>
      </c>
      <c r="M96" s="28" t="s">
        <v>358</v>
      </c>
      <c r="N96" s="28" t="s">
        <v>390</v>
      </c>
      <c r="O96" s="28"/>
      <c r="P96" s="28" t="s">
        <v>384</v>
      </c>
      <c r="Q96" s="28"/>
      <c r="R96" s="28"/>
      <c r="S96" s="28" t="s">
        <v>475</v>
      </c>
    </row>
    <row r="99" spans="1:64" x14ac:dyDescent="0.5">
      <c r="A99" s="25" t="s">
        <v>476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1" spans="1:64" x14ac:dyDescent="0.5">
      <c r="B101" s="26" t="s">
        <v>477</v>
      </c>
    </row>
    <row r="102" spans="1:64" x14ac:dyDescent="0.5">
      <c r="B102" s="26" t="s">
        <v>478</v>
      </c>
    </row>
    <row r="103" spans="1:64" x14ac:dyDescent="0.5">
      <c r="B103" s="26" t="s">
        <v>479</v>
      </c>
    </row>
    <row r="104" spans="1:64" x14ac:dyDescent="0.5">
      <c r="B104" s="26" t="s">
        <v>480</v>
      </c>
    </row>
    <row r="105" spans="1:64" x14ac:dyDescent="0.5">
      <c r="B105" s="26" t="s">
        <v>398</v>
      </c>
    </row>
    <row r="106" spans="1:64" x14ac:dyDescent="0.5">
      <c r="B106" s="26" t="s">
        <v>399</v>
      </c>
    </row>
    <row r="107" spans="1:64" x14ac:dyDescent="0.5">
      <c r="B107" s="26" t="s">
        <v>481</v>
      </c>
    </row>
    <row r="109" spans="1:64" x14ac:dyDescent="0.5">
      <c r="A109" s="27" t="s">
        <v>271</v>
      </c>
      <c r="B109" s="27"/>
      <c r="C109" s="27"/>
      <c r="D109" s="27"/>
    </row>
    <row r="110" spans="1:64" x14ac:dyDescent="0.5">
      <c r="A110" s="26" t="s">
        <v>272</v>
      </c>
    </row>
    <row r="111" spans="1:64" x14ac:dyDescent="0.5">
      <c r="A111" s="28" t="s">
        <v>273</v>
      </c>
      <c r="B111" s="28" t="s">
        <v>166</v>
      </c>
      <c r="C111" s="28" t="s">
        <v>274</v>
      </c>
      <c r="D111" s="28" t="s">
        <v>275</v>
      </c>
      <c r="E111" s="28" t="s">
        <v>276</v>
      </c>
      <c r="F111" s="28" t="s">
        <v>277</v>
      </c>
      <c r="G111" s="28" t="s">
        <v>278</v>
      </c>
      <c r="H111" s="28" t="s">
        <v>279</v>
      </c>
      <c r="I111" s="28" t="s">
        <v>280</v>
      </c>
      <c r="J111" s="28" t="s">
        <v>281</v>
      </c>
      <c r="K111" s="28" t="s">
        <v>282</v>
      </c>
      <c r="L111" s="28" t="s">
        <v>283</v>
      </c>
      <c r="M111" s="28" t="s">
        <v>284</v>
      </c>
      <c r="N111" s="28" t="s">
        <v>285</v>
      </c>
      <c r="O111" s="28" t="s">
        <v>286</v>
      </c>
      <c r="P111" s="28" t="s">
        <v>287</v>
      </c>
      <c r="Q111" s="28" t="s">
        <v>288</v>
      </c>
      <c r="R111" s="28" t="s">
        <v>289</v>
      </c>
      <c r="S111" s="28" t="s">
        <v>290</v>
      </c>
      <c r="T111" s="28" t="s">
        <v>291</v>
      </c>
      <c r="U111" s="28" t="s">
        <v>292</v>
      </c>
      <c r="V111" s="28" t="s">
        <v>293</v>
      </c>
      <c r="W111" s="28" t="s">
        <v>294</v>
      </c>
      <c r="X111" s="28" t="s">
        <v>295</v>
      </c>
      <c r="Y111" s="28" t="s">
        <v>296</v>
      </c>
      <c r="Z111" s="28" t="s">
        <v>297</v>
      </c>
      <c r="AA111" s="28" t="s">
        <v>298</v>
      </c>
      <c r="AB111" s="28" t="s">
        <v>299</v>
      </c>
      <c r="AC111" s="28" t="s">
        <v>300</v>
      </c>
      <c r="AD111" s="28" t="s">
        <v>301</v>
      </c>
      <c r="AE111" s="28" t="s">
        <v>302</v>
      </c>
      <c r="AF111" s="28" t="s">
        <v>303</v>
      </c>
      <c r="AG111" s="28" t="s">
        <v>304</v>
      </c>
      <c r="AH111" s="28" t="s">
        <v>305</v>
      </c>
      <c r="AI111" s="28" t="s">
        <v>306</v>
      </c>
      <c r="AJ111" s="28" t="s">
        <v>307</v>
      </c>
      <c r="AK111" s="28" t="s">
        <v>308</v>
      </c>
      <c r="AL111" s="28" t="s">
        <v>309</v>
      </c>
      <c r="AM111" s="28" t="s">
        <v>310</v>
      </c>
      <c r="AN111" s="28" t="s">
        <v>311</v>
      </c>
      <c r="AO111" s="28" t="s">
        <v>312</v>
      </c>
      <c r="AP111" s="28" t="s">
        <v>313</v>
      </c>
      <c r="AQ111" s="28" t="s">
        <v>314</v>
      </c>
      <c r="AR111" s="28" t="s">
        <v>315</v>
      </c>
      <c r="AS111" s="28" t="s">
        <v>316</v>
      </c>
      <c r="AT111" s="28" t="s">
        <v>317</v>
      </c>
      <c r="AU111" s="28" t="s">
        <v>318</v>
      </c>
      <c r="AV111" s="28" t="s">
        <v>319</v>
      </c>
      <c r="AW111" s="28" t="s">
        <v>320</v>
      </c>
      <c r="AX111" s="28" t="s">
        <v>321</v>
      </c>
      <c r="AY111" s="28" t="s">
        <v>322</v>
      </c>
      <c r="AZ111" s="28" t="s">
        <v>323</v>
      </c>
      <c r="BA111" s="28" t="s">
        <v>324</v>
      </c>
      <c r="BB111" s="28" t="s">
        <v>325</v>
      </c>
      <c r="BC111" s="28" t="s">
        <v>326</v>
      </c>
      <c r="BD111" s="28" t="s">
        <v>327</v>
      </c>
      <c r="BE111" s="28" t="s">
        <v>328</v>
      </c>
      <c r="BF111" s="28" t="s">
        <v>329</v>
      </c>
      <c r="BG111" s="28" t="s">
        <v>330</v>
      </c>
      <c r="BH111" s="28" t="s">
        <v>331</v>
      </c>
      <c r="BI111" s="28" t="s">
        <v>332</v>
      </c>
      <c r="BJ111" s="28" t="s">
        <v>333</v>
      </c>
      <c r="BK111" s="28" t="s">
        <v>334</v>
      </c>
      <c r="BL111" s="28" t="s">
        <v>335</v>
      </c>
    </row>
    <row r="112" spans="1:64" x14ac:dyDescent="0.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x14ac:dyDescent="0.5">
      <c r="A113" s="28" t="s">
        <v>482</v>
      </c>
      <c r="B113" s="28" t="s">
        <v>337</v>
      </c>
      <c r="C113" s="28" t="s">
        <v>338</v>
      </c>
      <c r="D113" s="28" t="s">
        <v>401</v>
      </c>
      <c r="E113" s="28" t="s">
        <v>109</v>
      </c>
      <c r="F113" s="28" t="s">
        <v>402</v>
      </c>
      <c r="G113" s="28" t="s">
        <v>483</v>
      </c>
      <c r="H113" s="28" t="s">
        <v>115</v>
      </c>
      <c r="I113" s="28" t="s">
        <v>484</v>
      </c>
      <c r="J113" s="28" t="s">
        <v>338</v>
      </c>
      <c r="K113" s="28" t="s">
        <v>485</v>
      </c>
      <c r="L113" s="28" t="s">
        <v>341</v>
      </c>
      <c r="M113" s="28" t="s">
        <v>486</v>
      </c>
      <c r="N113" s="28" t="s">
        <v>487</v>
      </c>
      <c r="O113" s="28" t="s">
        <v>405</v>
      </c>
      <c r="P113" s="28" t="s">
        <v>112</v>
      </c>
      <c r="Q113" s="28"/>
      <c r="R113" s="28"/>
      <c r="S113" s="28"/>
      <c r="T113" s="28"/>
      <c r="U113" s="28"/>
      <c r="V113" s="28" t="s">
        <v>344</v>
      </c>
      <c r="W113" s="28" t="s">
        <v>406</v>
      </c>
      <c r="X113" s="28" t="s">
        <v>346</v>
      </c>
      <c r="Y113" s="28" t="s">
        <v>347</v>
      </c>
      <c r="Z113" s="28"/>
      <c r="AA113" s="28"/>
      <c r="AB113" s="28"/>
      <c r="AC113" s="28"/>
      <c r="AD113" s="28" t="s">
        <v>109</v>
      </c>
      <c r="AE113" s="28"/>
      <c r="AF113" s="28"/>
      <c r="AG113" s="28" t="s">
        <v>407</v>
      </c>
      <c r="AH113" s="28" t="s">
        <v>109</v>
      </c>
      <c r="AI113" s="28"/>
      <c r="AJ113" s="28"/>
      <c r="AK113" s="28" t="s">
        <v>108</v>
      </c>
      <c r="AL113" s="28" t="s">
        <v>143</v>
      </c>
      <c r="AM113" s="28" t="s">
        <v>488</v>
      </c>
      <c r="AN113" s="28" t="s">
        <v>349</v>
      </c>
      <c r="AO113" s="28"/>
      <c r="AP113" s="28" t="s">
        <v>350</v>
      </c>
      <c r="AQ113" s="28"/>
      <c r="AR113" s="28"/>
      <c r="AS113" s="28"/>
      <c r="AT113" s="28"/>
      <c r="AU113" s="28" t="s">
        <v>142</v>
      </c>
      <c r="AV113" s="28"/>
      <c r="AW113" s="28"/>
      <c r="AX113" s="28" t="s">
        <v>484</v>
      </c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x14ac:dyDescent="0.5">
      <c r="A114" s="28" t="s">
        <v>489</v>
      </c>
      <c r="B114" s="28" t="s">
        <v>352</v>
      </c>
      <c r="C114" s="28" t="s">
        <v>353</v>
      </c>
      <c r="D114" s="28" t="s">
        <v>401</v>
      </c>
      <c r="E114" s="28" t="s">
        <v>109</v>
      </c>
      <c r="F114" s="28" t="s">
        <v>402</v>
      </c>
      <c r="G114" s="28" t="s">
        <v>490</v>
      </c>
      <c r="H114" s="28" t="s">
        <v>115</v>
      </c>
      <c r="I114" s="28" t="s">
        <v>484</v>
      </c>
      <c r="J114" s="28" t="s">
        <v>352</v>
      </c>
      <c r="K114" s="28" t="s">
        <v>491</v>
      </c>
      <c r="L114" s="28" t="s">
        <v>341</v>
      </c>
      <c r="M114" s="28" t="s">
        <v>412</v>
      </c>
      <c r="N114" s="28" t="s">
        <v>413</v>
      </c>
      <c r="O114" s="28" t="s">
        <v>343</v>
      </c>
      <c r="P114" s="28" t="s">
        <v>124</v>
      </c>
      <c r="Q114" s="28"/>
      <c r="R114" s="28"/>
      <c r="S114" s="28"/>
      <c r="T114" s="28"/>
      <c r="U114" s="28"/>
      <c r="V114" s="28" t="s">
        <v>355</v>
      </c>
      <c r="W114" s="28" t="s">
        <v>338</v>
      </c>
      <c r="X114" s="28" t="s">
        <v>482</v>
      </c>
      <c r="Y114" s="28"/>
      <c r="Z114" s="28"/>
      <c r="AA114" s="28"/>
      <c r="AB114" s="28"/>
      <c r="AC114" s="28"/>
      <c r="AD114" s="28" t="s">
        <v>109</v>
      </c>
      <c r="AE114" s="28"/>
      <c r="AF114" s="28"/>
      <c r="AG114" s="28" t="s">
        <v>407</v>
      </c>
      <c r="AH114" s="28" t="s">
        <v>109</v>
      </c>
      <c r="AI114" s="28"/>
      <c r="AJ114" s="28"/>
      <c r="AK114" s="28" t="s">
        <v>108</v>
      </c>
      <c r="AL114" s="28" t="s">
        <v>143</v>
      </c>
      <c r="AM114" s="28" t="s">
        <v>488</v>
      </c>
      <c r="AN114" s="28" t="s">
        <v>349</v>
      </c>
      <c r="AO114" s="28"/>
      <c r="AP114" s="28" t="s">
        <v>350</v>
      </c>
      <c r="AQ114" s="28"/>
      <c r="AR114" s="28"/>
      <c r="AS114" s="28"/>
      <c r="AT114" s="28"/>
      <c r="AU114" s="28" t="s">
        <v>142</v>
      </c>
      <c r="AV114" s="28"/>
      <c r="AW114" s="28"/>
      <c r="AX114" s="28" t="s">
        <v>484</v>
      </c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x14ac:dyDescent="0.5">
      <c r="A115" s="28" t="s">
        <v>492</v>
      </c>
      <c r="B115" s="28" t="s">
        <v>337</v>
      </c>
      <c r="C115" s="28" t="s">
        <v>338</v>
      </c>
      <c r="D115" s="28" t="s">
        <v>401</v>
      </c>
      <c r="E115" s="28" t="s">
        <v>109</v>
      </c>
      <c r="F115" s="28" t="s">
        <v>402</v>
      </c>
      <c r="G115" s="28"/>
      <c r="H115" s="28" t="s">
        <v>445</v>
      </c>
      <c r="I115" s="28" t="s">
        <v>484</v>
      </c>
      <c r="J115" s="28" t="s">
        <v>338</v>
      </c>
      <c r="K115" s="28"/>
      <c r="L115" s="28" t="s">
        <v>341</v>
      </c>
      <c r="M115" s="28" t="s">
        <v>493</v>
      </c>
      <c r="N115" s="28" t="s">
        <v>494</v>
      </c>
      <c r="O115" s="28" t="s">
        <v>405</v>
      </c>
      <c r="P115" s="28" t="s">
        <v>112</v>
      </c>
      <c r="Q115" s="28"/>
      <c r="R115" s="28"/>
      <c r="S115" s="28"/>
      <c r="T115" s="28"/>
      <c r="U115" s="28"/>
      <c r="V115" s="28" t="s">
        <v>344</v>
      </c>
      <c r="W115" s="28" t="s">
        <v>406</v>
      </c>
      <c r="X115" s="28" t="s">
        <v>346</v>
      </c>
      <c r="Y115" s="28" t="s">
        <v>347</v>
      </c>
      <c r="Z115" s="28"/>
      <c r="AA115" s="28"/>
      <c r="AB115" s="28"/>
      <c r="AC115" s="28"/>
      <c r="AD115" s="28" t="s">
        <v>109</v>
      </c>
      <c r="AE115" s="28" t="s">
        <v>482</v>
      </c>
      <c r="AF115" s="28" t="s">
        <v>495</v>
      </c>
      <c r="AG115" s="28" t="s">
        <v>407</v>
      </c>
      <c r="AH115" s="28" t="s">
        <v>109</v>
      </c>
      <c r="AI115" s="28"/>
      <c r="AJ115" s="28"/>
      <c r="AK115" s="28" t="s">
        <v>448</v>
      </c>
      <c r="AL115" s="28" t="s">
        <v>449</v>
      </c>
      <c r="AM115" s="28" t="s">
        <v>496</v>
      </c>
      <c r="AN115" s="28" t="s">
        <v>349</v>
      </c>
      <c r="AO115" s="28"/>
      <c r="AP115" s="28" t="s">
        <v>350</v>
      </c>
      <c r="AQ115" s="28"/>
      <c r="AR115" s="28"/>
      <c r="AS115" s="28"/>
      <c r="AT115" s="28"/>
      <c r="AU115" s="28" t="s">
        <v>142</v>
      </c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x14ac:dyDescent="0.5">
      <c r="A116" s="28" t="s">
        <v>497</v>
      </c>
      <c r="B116" s="28" t="s">
        <v>352</v>
      </c>
      <c r="C116" s="28" t="s">
        <v>353</v>
      </c>
      <c r="D116" s="28" t="s">
        <v>401</v>
      </c>
      <c r="E116" s="28" t="s">
        <v>109</v>
      </c>
      <c r="F116" s="28" t="s">
        <v>402</v>
      </c>
      <c r="G116" s="28" t="s">
        <v>498</v>
      </c>
      <c r="H116" s="28" t="s">
        <v>445</v>
      </c>
      <c r="I116" s="28" t="s">
        <v>484</v>
      </c>
      <c r="J116" s="28" t="s">
        <v>352</v>
      </c>
      <c r="K116" s="28" t="s">
        <v>491</v>
      </c>
      <c r="L116" s="28" t="s">
        <v>341</v>
      </c>
      <c r="M116" s="28" t="s">
        <v>499</v>
      </c>
      <c r="N116" s="28" t="s">
        <v>500</v>
      </c>
      <c r="O116" s="28" t="s">
        <v>343</v>
      </c>
      <c r="P116" s="28" t="s">
        <v>124</v>
      </c>
      <c r="Q116" s="28"/>
      <c r="R116" s="28"/>
      <c r="S116" s="28"/>
      <c r="T116" s="28"/>
      <c r="U116" s="28"/>
      <c r="V116" s="28" t="s">
        <v>355</v>
      </c>
      <c r="W116" s="28" t="s">
        <v>338</v>
      </c>
      <c r="X116" s="28" t="s">
        <v>482</v>
      </c>
      <c r="Y116" s="28"/>
      <c r="Z116" s="28"/>
      <c r="AA116" s="28"/>
      <c r="AB116" s="28"/>
      <c r="AC116" s="28"/>
      <c r="AD116" s="28" t="s">
        <v>109</v>
      </c>
      <c r="AE116" s="28" t="s">
        <v>489</v>
      </c>
      <c r="AF116" s="28" t="s">
        <v>495</v>
      </c>
      <c r="AG116" s="28" t="s">
        <v>407</v>
      </c>
      <c r="AH116" s="28" t="s">
        <v>109</v>
      </c>
      <c r="AI116" s="28"/>
      <c r="AJ116" s="28"/>
      <c r="AK116" s="28" t="s">
        <v>448</v>
      </c>
      <c r="AL116" s="28" t="s">
        <v>414</v>
      </c>
      <c r="AM116" s="28" t="s">
        <v>496</v>
      </c>
      <c r="AN116" s="28" t="s">
        <v>349</v>
      </c>
      <c r="AO116" s="28"/>
      <c r="AP116" s="28" t="s">
        <v>350</v>
      </c>
      <c r="AQ116" s="28"/>
      <c r="AR116" s="28"/>
      <c r="AS116" s="28"/>
      <c r="AT116" s="28"/>
      <c r="AU116" s="28" t="s">
        <v>142</v>
      </c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9" spans="1:64" x14ac:dyDescent="0.5">
      <c r="A119" s="27" t="s">
        <v>356</v>
      </c>
      <c r="B119" s="27"/>
      <c r="C119" s="27"/>
      <c r="D119" s="27"/>
    </row>
    <row r="120" spans="1:64" x14ac:dyDescent="0.5">
      <c r="A120" s="26" t="s">
        <v>272</v>
      </c>
    </row>
    <row r="121" spans="1:64" x14ac:dyDescent="0.5">
      <c r="A121" s="28" t="s">
        <v>273</v>
      </c>
      <c r="B121" s="28" t="s">
        <v>166</v>
      </c>
      <c r="C121" s="28" t="s">
        <v>274</v>
      </c>
      <c r="D121" s="28" t="s">
        <v>275</v>
      </c>
      <c r="E121" s="28" t="s">
        <v>276</v>
      </c>
      <c r="F121" s="28" t="s">
        <v>277</v>
      </c>
      <c r="G121" s="28" t="s">
        <v>278</v>
      </c>
      <c r="H121" s="28" t="s">
        <v>279</v>
      </c>
      <c r="I121" s="28" t="s">
        <v>280</v>
      </c>
      <c r="J121" s="28" t="s">
        <v>281</v>
      </c>
      <c r="K121" s="28" t="s">
        <v>282</v>
      </c>
      <c r="L121" s="28" t="s">
        <v>283</v>
      </c>
      <c r="M121" s="28" t="s">
        <v>284</v>
      </c>
      <c r="N121" s="28" t="s">
        <v>285</v>
      </c>
      <c r="O121" s="28" t="s">
        <v>286</v>
      </c>
      <c r="P121" s="28" t="s">
        <v>287</v>
      </c>
      <c r="Q121" s="28" t="s">
        <v>288</v>
      </c>
      <c r="R121" s="28" t="s">
        <v>289</v>
      </c>
      <c r="S121" s="28" t="s">
        <v>290</v>
      </c>
      <c r="T121" s="28" t="s">
        <v>291</v>
      </c>
      <c r="U121" s="28" t="s">
        <v>292</v>
      </c>
      <c r="V121" s="28" t="s">
        <v>293</v>
      </c>
      <c r="W121" s="28" t="s">
        <v>294</v>
      </c>
      <c r="X121" s="28" t="s">
        <v>295</v>
      </c>
      <c r="Y121" s="28" t="s">
        <v>296</v>
      </c>
      <c r="Z121" s="28" t="s">
        <v>297</v>
      </c>
      <c r="AA121" s="28" t="s">
        <v>298</v>
      </c>
      <c r="AB121" s="28" t="s">
        <v>299</v>
      </c>
      <c r="AC121" s="28" t="s">
        <v>300</v>
      </c>
      <c r="AD121" s="28" t="s">
        <v>301</v>
      </c>
      <c r="AE121" s="28" t="s">
        <v>302</v>
      </c>
      <c r="AF121" s="28" t="s">
        <v>303</v>
      </c>
      <c r="AG121" s="28" t="s">
        <v>304</v>
      </c>
      <c r="AH121" s="28" t="s">
        <v>305</v>
      </c>
      <c r="AI121" s="28" t="s">
        <v>306</v>
      </c>
      <c r="AJ121" s="28" t="s">
        <v>307</v>
      </c>
      <c r="AK121" s="28" t="s">
        <v>308</v>
      </c>
      <c r="AL121" s="28" t="s">
        <v>309</v>
      </c>
      <c r="AM121" s="28" t="s">
        <v>310</v>
      </c>
      <c r="AN121" s="28" t="s">
        <v>311</v>
      </c>
      <c r="AO121" s="28" t="s">
        <v>312</v>
      </c>
      <c r="AP121" s="28" t="s">
        <v>313</v>
      </c>
      <c r="AQ121" s="28" t="s">
        <v>314</v>
      </c>
      <c r="AR121" s="28" t="s">
        <v>315</v>
      </c>
      <c r="AS121" s="28" t="s">
        <v>316</v>
      </c>
      <c r="AT121" s="28" t="s">
        <v>317</v>
      </c>
      <c r="AU121" s="28" t="s">
        <v>318</v>
      </c>
      <c r="AV121" s="28" t="s">
        <v>319</v>
      </c>
      <c r="AW121" s="28" t="s">
        <v>320</v>
      </c>
      <c r="AX121" s="28" t="s">
        <v>321</v>
      </c>
      <c r="AY121" s="28" t="s">
        <v>322</v>
      </c>
      <c r="AZ121" s="28" t="s">
        <v>323</v>
      </c>
      <c r="BA121" s="28" t="s">
        <v>324</v>
      </c>
      <c r="BB121" s="28" t="s">
        <v>325</v>
      </c>
      <c r="BC121" s="28" t="s">
        <v>326</v>
      </c>
      <c r="BD121" s="28" t="s">
        <v>327</v>
      </c>
      <c r="BE121" s="28" t="s">
        <v>328</v>
      </c>
      <c r="BF121" s="28" t="s">
        <v>329</v>
      </c>
      <c r="BG121" s="28" t="s">
        <v>330</v>
      </c>
      <c r="BH121" s="28" t="s">
        <v>331</v>
      </c>
      <c r="BI121" s="28" t="s">
        <v>332</v>
      </c>
      <c r="BJ121" s="28" t="s">
        <v>333</v>
      </c>
      <c r="BK121" s="28" t="s">
        <v>334</v>
      </c>
      <c r="BL121" s="28" t="s">
        <v>335</v>
      </c>
    </row>
    <row r="122" spans="1:64" x14ac:dyDescent="0.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x14ac:dyDescent="0.5">
      <c r="A123" s="28" t="s">
        <v>482</v>
      </c>
      <c r="B123" s="28" t="s">
        <v>337</v>
      </c>
      <c r="C123" s="28" t="s">
        <v>338</v>
      </c>
      <c r="D123" s="28" t="s">
        <v>401</v>
      </c>
      <c r="E123" s="28" t="s">
        <v>109</v>
      </c>
      <c r="F123" s="28" t="s">
        <v>402</v>
      </c>
      <c r="G123" s="28" t="s">
        <v>483</v>
      </c>
      <c r="H123" s="28" t="s">
        <v>115</v>
      </c>
      <c r="I123" s="28" t="s">
        <v>484</v>
      </c>
      <c r="J123" s="28" t="s">
        <v>338</v>
      </c>
      <c r="K123" s="28" t="s">
        <v>485</v>
      </c>
      <c r="L123" s="28" t="s">
        <v>341</v>
      </c>
      <c r="M123" s="28" t="s">
        <v>486</v>
      </c>
      <c r="N123" s="28" t="s">
        <v>487</v>
      </c>
      <c r="O123" s="28" t="s">
        <v>405</v>
      </c>
      <c r="P123" s="28" t="s">
        <v>112</v>
      </c>
      <c r="Q123" s="28"/>
      <c r="R123" s="28"/>
      <c r="S123" s="28"/>
      <c r="T123" s="28"/>
      <c r="U123" s="28"/>
      <c r="V123" s="28" t="s">
        <v>344</v>
      </c>
      <c r="W123" s="28" t="s">
        <v>406</v>
      </c>
      <c r="X123" s="28" t="s">
        <v>346</v>
      </c>
      <c r="Y123" s="28" t="s">
        <v>347</v>
      </c>
      <c r="Z123" s="28"/>
      <c r="AA123" s="28"/>
      <c r="AB123" s="28"/>
      <c r="AC123" s="28"/>
      <c r="AD123" s="28" t="s">
        <v>109</v>
      </c>
      <c r="AE123" s="28"/>
      <c r="AF123" s="28"/>
      <c r="AG123" s="28" t="s">
        <v>407</v>
      </c>
      <c r="AH123" s="28" t="s">
        <v>109</v>
      </c>
      <c r="AI123" s="28"/>
      <c r="AJ123" s="28"/>
      <c r="AK123" s="28" t="s">
        <v>108</v>
      </c>
      <c r="AL123" s="28" t="s">
        <v>143</v>
      </c>
      <c r="AM123" s="28" t="s">
        <v>488</v>
      </c>
      <c r="AN123" s="28" t="s">
        <v>349</v>
      </c>
      <c r="AO123" s="28"/>
      <c r="AP123" s="28" t="s">
        <v>350</v>
      </c>
      <c r="AQ123" s="28"/>
      <c r="AR123" s="28"/>
      <c r="AS123" s="28"/>
      <c r="AT123" s="28"/>
      <c r="AU123" s="28" t="s">
        <v>142</v>
      </c>
      <c r="AV123" s="28"/>
      <c r="AW123" s="28"/>
      <c r="AX123" s="28" t="s">
        <v>484</v>
      </c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x14ac:dyDescent="0.5">
      <c r="A124" s="28" t="s">
        <v>489</v>
      </c>
      <c r="B124" s="28" t="s">
        <v>352</v>
      </c>
      <c r="C124" s="28" t="s">
        <v>353</v>
      </c>
      <c r="D124" s="28" t="s">
        <v>401</v>
      </c>
      <c r="E124" s="28" t="s">
        <v>109</v>
      </c>
      <c r="F124" s="28" t="s">
        <v>402</v>
      </c>
      <c r="G124" s="28" t="s">
        <v>490</v>
      </c>
      <c r="H124" s="28" t="s">
        <v>115</v>
      </c>
      <c r="I124" s="28" t="s">
        <v>484</v>
      </c>
      <c r="J124" s="28" t="s">
        <v>352</v>
      </c>
      <c r="K124" s="28" t="s">
        <v>491</v>
      </c>
      <c r="L124" s="28" t="s">
        <v>341</v>
      </c>
      <c r="M124" s="28" t="s">
        <v>412</v>
      </c>
      <c r="N124" s="28" t="s">
        <v>413</v>
      </c>
      <c r="O124" s="28" t="s">
        <v>343</v>
      </c>
      <c r="P124" s="28" t="s">
        <v>124</v>
      </c>
      <c r="Q124" s="28"/>
      <c r="R124" s="28"/>
      <c r="S124" s="28"/>
      <c r="T124" s="28"/>
      <c r="U124" s="28"/>
      <c r="V124" s="28" t="s">
        <v>355</v>
      </c>
      <c r="W124" s="28" t="s">
        <v>338</v>
      </c>
      <c r="X124" s="28" t="s">
        <v>482</v>
      </c>
      <c r="Y124" s="28"/>
      <c r="Z124" s="28"/>
      <c r="AA124" s="28"/>
      <c r="AB124" s="28"/>
      <c r="AC124" s="28"/>
      <c r="AD124" s="28" t="s">
        <v>109</v>
      </c>
      <c r="AE124" s="28"/>
      <c r="AF124" s="28"/>
      <c r="AG124" s="28" t="s">
        <v>407</v>
      </c>
      <c r="AH124" s="28" t="s">
        <v>109</v>
      </c>
      <c r="AI124" s="28"/>
      <c r="AJ124" s="28"/>
      <c r="AK124" s="28" t="s">
        <v>108</v>
      </c>
      <c r="AL124" s="28" t="s">
        <v>143</v>
      </c>
      <c r="AM124" s="28" t="s">
        <v>488</v>
      </c>
      <c r="AN124" s="28" t="s">
        <v>349</v>
      </c>
      <c r="AO124" s="28"/>
      <c r="AP124" s="28" t="s">
        <v>350</v>
      </c>
      <c r="AQ124" s="28"/>
      <c r="AR124" s="28"/>
      <c r="AS124" s="28"/>
      <c r="AT124" s="28"/>
      <c r="AU124" s="28" t="s">
        <v>142</v>
      </c>
      <c r="AV124" s="28"/>
      <c r="AW124" s="28"/>
      <c r="AX124" s="28" t="s">
        <v>484</v>
      </c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x14ac:dyDescent="0.5">
      <c r="A125" s="28" t="s">
        <v>492</v>
      </c>
      <c r="B125" s="28" t="s">
        <v>337</v>
      </c>
      <c r="C125" s="28" t="s">
        <v>338</v>
      </c>
      <c r="D125" s="28" t="s">
        <v>401</v>
      </c>
      <c r="E125" s="28" t="s">
        <v>109</v>
      </c>
      <c r="F125" s="28" t="s">
        <v>402</v>
      </c>
      <c r="G125" s="28" t="s">
        <v>501</v>
      </c>
      <c r="H125" s="28" t="s">
        <v>445</v>
      </c>
      <c r="I125" s="28" t="s">
        <v>484</v>
      </c>
      <c r="J125" s="28" t="s">
        <v>338</v>
      </c>
      <c r="K125" s="28" t="s">
        <v>485</v>
      </c>
      <c r="L125" s="28" t="s">
        <v>341</v>
      </c>
      <c r="M125" s="28" t="s">
        <v>502</v>
      </c>
      <c r="N125" s="28" t="s">
        <v>494</v>
      </c>
      <c r="O125" s="28" t="s">
        <v>405</v>
      </c>
      <c r="P125" s="28" t="s">
        <v>112</v>
      </c>
      <c r="Q125" s="28"/>
      <c r="R125" s="28"/>
      <c r="S125" s="28"/>
      <c r="T125" s="28"/>
      <c r="U125" s="28"/>
      <c r="V125" s="28" t="s">
        <v>344</v>
      </c>
      <c r="W125" s="28" t="s">
        <v>406</v>
      </c>
      <c r="X125" s="28" t="s">
        <v>346</v>
      </c>
      <c r="Y125" s="28" t="s">
        <v>347</v>
      </c>
      <c r="Z125" s="28"/>
      <c r="AA125" s="28"/>
      <c r="AB125" s="28"/>
      <c r="AC125" s="28"/>
      <c r="AD125" s="28" t="s">
        <v>109</v>
      </c>
      <c r="AE125" s="28" t="s">
        <v>482</v>
      </c>
      <c r="AF125" s="28" t="s">
        <v>495</v>
      </c>
      <c r="AG125" s="28" t="s">
        <v>357</v>
      </c>
      <c r="AH125" s="28" t="s">
        <v>109</v>
      </c>
      <c r="AI125" s="28"/>
      <c r="AJ125" s="28"/>
      <c r="AK125" s="28" t="s">
        <v>448</v>
      </c>
      <c r="AL125" s="28" t="s">
        <v>414</v>
      </c>
      <c r="AM125" s="28" t="s">
        <v>503</v>
      </c>
      <c r="AN125" s="28" t="s">
        <v>349</v>
      </c>
      <c r="AO125" s="28"/>
      <c r="AP125" s="28" t="s">
        <v>350</v>
      </c>
      <c r="AQ125" s="28"/>
      <c r="AR125" s="28"/>
      <c r="AS125" s="28"/>
      <c r="AT125" s="28"/>
      <c r="AU125" s="28" t="s">
        <v>142</v>
      </c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x14ac:dyDescent="0.5">
      <c r="A126" s="28" t="s">
        <v>497</v>
      </c>
      <c r="B126" s="28" t="s">
        <v>352</v>
      </c>
      <c r="C126" s="28" t="s">
        <v>353</v>
      </c>
      <c r="D126" s="28" t="s">
        <v>401</v>
      </c>
      <c r="E126" s="28" t="s">
        <v>109</v>
      </c>
      <c r="F126" s="28" t="s">
        <v>402</v>
      </c>
      <c r="G126" s="28" t="s">
        <v>498</v>
      </c>
      <c r="H126" s="28" t="s">
        <v>445</v>
      </c>
      <c r="I126" s="28" t="s">
        <v>484</v>
      </c>
      <c r="J126" s="28" t="s">
        <v>352</v>
      </c>
      <c r="K126" s="28" t="s">
        <v>491</v>
      </c>
      <c r="L126" s="28" t="s">
        <v>341</v>
      </c>
      <c r="M126" s="28" t="s">
        <v>499</v>
      </c>
      <c r="N126" s="28" t="s">
        <v>500</v>
      </c>
      <c r="O126" s="28" t="s">
        <v>343</v>
      </c>
      <c r="P126" s="28" t="s">
        <v>124</v>
      </c>
      <c r="Q126" s="28"/>
      <c r="R126" s="28"/>
      <c r="S126" s="28"/>
      <c r="T126" s="28"/>
      <c r="U126" s="28"/>
      <c r="V126" s="28" t="s">
        <v>355</v>
      </c>
      <c r="W126" s="28" t="s">
        <v>338</v>
      </c>
      <c r="X126" s="28" t="s">
        <v>482</v>
      </c>
      <c r="Y126" s="28"/>
      <c r="Z126" s="28"/>
      <c r="AA126" s="28"/>
      <c r="AB126" s="28"/>
      <c r="AC126" s="28"/>
      <c r="AD126" s="28" t="s">
        <v>109</v>
      </c>
      <c r="AE126" s="28" t="s">
        <v>489</v>
      </c>
      <c r="AF126" s="28" t="s">
        <v>495</v>
      </c>
      <c r="AG126" s="28" t="s">
        <v>407</v>
      </c>
      <c r="AH126" s="28" t="s">
        <v>109</v>
      </c>
      <c r="AI126" s="28"/>
      <c r="AJ126" s="28"/>
      <c r="AK126" s="28" t="s">
        <v>448</v>
      </c>
      <c r="AL126" s="28" t="s">
        <v>414</v>
      </c>
      <c r="AM126" s="28" t="s">
        <v>496</v>
      </c>
      <c r="AN126" s="28" t="s">
        <v>349</v>
      </c>
      <c r="AO126" s="28"/>
      <c r="AP126" s="28" t="s">
        <v>350</v>
      </c>
      <c r="AQ126" s="28"/>
      <c r="AR126" s="28"/>
      <c r="AS126" s="28"/>
      <c r="AT126" s="28"/>
      <c r="AU126" s="28" t="s">
        <v>142</v>
      </c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30" spans="1:19" x14ac:dyDescent="0.5">
      <c r="A130" s="26" t="s">
        <v>360</v>
      </c>
    </row>
    <row r="131" spans="1:19" x14ac:dyDescent="0.5">
      <c r="A131" s="28" t="s">
        <v>3</v>
      </c>
      <c r="B131" s="28" t="s">
        <v>166</v>
      </c>
      <c r="C131" s="28" t="s">
        <v>274</v>
      </c>
      <c r="D131" s="28" t="s">
        <v>273</v>
      </c>
      <c r="E131" s="28" t="s">
        <v>361</v>
      </c>
      <c r="F131" s="28" t="s">
        <v>362</v>
      </c>
      <c r="G131" s="28" t="s">
        <v>363</v>
      </c>
      <c r="H131" s="28" t="s">
        <v>364</v>
      </c>
      <c r="I131" s="28" t="s">
        <v>365</v>
      </c>
      <c r="J131" s="28" t="s">
        <v>366</v>
      </c>
      <c r="K131" s="28" t="s">
        <v>367</v>
      </c>
      <c r="L131" s="28" t="s">
        <v>368</v>
      </c>
      <c r="M131" s="28" t="s">
        <v>309</v>
      </c>
      <c r="N131" s="28" t="s">
        <v>369</v>
      </c>
      <c r="O131" s="28" t="s">
        <v>370</v>
      </c>
      <c r="P131" s="28" t="s">
        <v>371</v>
      </c>
      <c r="Q131" s="28" t="s">
        <v>372</v>
      </c>
      <c r="R131" s="28" t="s">
        <v>373</v>
      </c>
      <c r="S131" s="28" t="s">
        <v>374</v>
      </c>
    </row>
    <row r="132" spans="1:19" x14ac:dyDescent="0.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</row>
    <row r="133" spans="1:19" x14ac:dyDescent="0.5">
      <c r="A133" s="28" t="s">
        <v>504</v>
      </c>
      <c r="B133" s="28" t="s">
        <v>337</v>
      </c>
      <c r="C133" s="28" t="s">
        <v>376</v>
      </c>
      <c r="D133" s="28" t="s">
        <v>482</v>
      </c>
      <c r="E133" s="28" t="s">
        <v>377</v>
      </c>
      <c r="F133" s="28" t="s">
        <v>378</v>
      </c>
      <c r="G133" s="28" t="s">
        <v>379</v>
      </c>
      <c r="H133" s="28" t="s">
        <v>420</v>
      </c>
      <c r="I133" s="28" t="s">
        <v>505</v>
      </c>
      <c r="J133" s="28" t="s">
        <v>382</v>
      </c>
      <c r="K133" s="28" t="s">
        <v>506</v>
      </c>
      <c r="L133" s="28" t="s">
        <v>407</v>
      </c>
      <c r="M133" s="28" t="s">
        <v>109</v>
      </c>
      <c r="N133" s="28"/>
      <c r="O133" s="28"/>
      <c r="P133" s="28" t="s">
        <v>384</v>
      </c>
      <c r="Q133" s="28" t="s">
        <v>420</v>
      </c>
      <c r="R133" s="28" t="s">
        <v>505</v>
      </c>
      <c r="S133" s="28" t="s">
        <v>507</v>
      </c>
    </row>
    <row r="134" spans="1:19" x14ac:dyDescent="0.5">
      <c r="A134" s="28" t="s">
        <v>508</v>
      </c>
      <c r="B134" s="28" t="s">
        <v>352</v>
      </c>
      <c r="C134" s="28" t="s">
        <v>353</v>
      </c>
      <c r="D134" s="28" t="s">
        <v>489</v>
      </c>
      <c r="E134" s="28" t="s">
        <v>377</v>
      </c>
      <c r="F134" s="28" t="s">
        <v>378</v>
      </c>
      <c r="G134" s="28" t="s">
        <v>379</v>
      </c>
      <c r="H134" s="28" t="s">
        <v>420</v>
      </c>
      <c r="I134" s="28" t="s">
        <v>505</v>
      </c>
      <c r="J134" s="28" t="s">
        <v>382</v>
      </c>
      <c r="K134" s="28" t="s">
        <v>506</v>
      </c>
      <c r="L134" s="28" t="s">
        <v>407</v>
      </c>
      <c r="M134" s="28" t="s">
        <v>109</v>
      </c>
      <c r="N134" s="28"/>
      <c r="O134" s="28"/>
      <c r="P134" s="28" t="s">
        <v>384</v>
      </c>
      <c r="Q134" s="28" t="s">
        <v>420</v>
      </c>
      <c r="R134" s="28" t="s">
        <v>505</v>
      </c>
      <c r="S134" s="28" t="s">
        <v>507</v>
      </c>
    </row>
    <row r="135" spans="1:19" x14ac:dyDescent="0.5">
      <c r="A135" s="28" t="s">
        <v>509</v>
      </c>
      <c r="B135" s="28" t="s">
        <v>337</v>
      </c>
      <c r="C135" s="28" t="s">
        <v>338</v>
      </c>
      <c r="D135" s="28" t="s">
        <v>482</v>
      </c>
      <c r="E135" s="28" t="s">
        <v>426</v>
      </c>
      <c r="F135" s="28" t="s">
        <v>378</v>
      </c>
      <c r="G135" s="28" t="s">
        <v>379</v>
      </c>
      <c r="H135" s="28" t="s">
        <v>420</v>
      </c>
      <c r="I135" s="28" t="s">
        <v>510</v>
      </c>
      <c r="J135" s="28" t="s">
        <v>382</v>
      </c>
      <c r="K135" s="28" t="s">
        <v>511</v>
      </c>
      <c r="L135" s="28" t="s">
        <v>407</v>
      </c>
      <c r="M135" s="28" t="s">
        <v>143</v>
      </c>
      <c r="N135" s="28"/>
      <c r="O135" s="28"/>
      <c r="P135" s="28" t="s">
        <v>384</v>
      </c>
      <c r="Q135" s="28" t="s">
        <v>420</v>
      </c>
      <c r="R135" s="28" t="s">
        <v>510</v>
      </c>
      <c r="S135" s="28" t="s">
        <v>512</v>
      </c>
    </row>
    <row r="136" spans="1:19" x14ac:dyDescent="0.5">
      <c r="A136" s="28" t="s">
        <v>513</v>
      </c>
      <c r="B136" s="28" t="s">
        <v>352</v>
      </c>
      <c r="C136" s="28" t="s">
        <v>353</v>
      </c>
      <c r="D136" s="28" t="s">
        <v>489</v>
      </c>
      <c r="E136" s="28" t="s">
        <v>426</v>
      </c>
      <c r="F136" s="28" t="s">
        <v>378</v>
      </c>
      <c r="G136" s="28" t="s">
        <v>379</v>
      </c>
      <c r="H136" s="28" t="s">
        <v>420</v>
      </c>
      <c r="I136" s="28" t="s">
        <v>510</v>
      </c>
      <c r="J136" s="28" t="s">
        <v>382</v>
      </c>
      <c r="K136" s="28" t="s">
        <v>511</v>
      </c>
      <c r="L136" s="28" t="s">
        <v>407</v>
      </c>
      <c r="M136" s="28" t="s">
        <v>143</v>
      </c>
      <c r="N136" s="28"/>
      <c r="O136" s="28"/>
      <c r="P136" s="28" t="s">
        <v>384</v>
      </c>
      <c r="Q136" s="28" t="s">
        <v>420</v>
      </c>
      <c r="R136" s="28" t="s">
        <v>510</v>
      </c>
      <c r="S136" s="28" t="s">
        <v>512</v>
      </c>
    </row>
    <row r="137" spans="1:19" x14ac:dyDescent="0.5">
      <c r="A137" s="28" t="s">
        <v>514</v>
      </c>
      <c r="B137" s="28" t="s">
        <v>337</v>
      </c>
      <c r="C137" s="28" t="s">
        <v>338</v>
      </c>
      <c r="D137" s="28" t="s">
        <v>482</v>
      </c>
      <c r="E137" s="28" t="s">
        <v>468</v>
      </c>
      <c r="F137" s="28" t="s">
        <v>378</v>
      </c>
      <c r="G137" s="28" t="s">
        <v>379</v>
      </c>
      <c r="H137" s="28" t="s">
        <v>420</v>
      </c>
      <c r="I137" s="28" t="s">
        <v>510</v>
      </c>
      <c r="J137" s="28" t="s">
        <v>382</v>
      </c>
      <c r="K137" s="28" t="s">
        <v>515</v>
      </c>
      <c r="L137" s="28" t="s">
        <v>407</v>
      </c>
      <c r="M137" s="28" t="s">
        <v>449</v>
      </c>
      <c r="N137" s="28"/>
      <c r="O137" s="28"/>
      <c r="P137" s="28" t="s">
        <v>384</v>
      </c>
      <c r="Q137" s="28" t="s">
        <v>420</v>
      </c>
      <c r="R137" s="28" t="s">
        <v>510</v>
      </c>
      <c r="S137" s="28" t="s">
        <v>516</v>
      </c>
    </row>
    <row r="138" spans="1:19" x14ac:dyDescent="0.5">
      <c r="A138" s="28" t="s">
        <v>517</v>
      </c>
      <c r="B138" s="28" t="s">
        <v>352</v>
      </c>
      <c r="C138" s="28" t="s">
        <v>353</v>
      </c>
      <c r="D138" s="28" t="s">
        <v>489</v>
      </c>
      <c r="E138" s="28" t="s">
        <v>468</v>
      </c>
      <c r="F138" s="28" t="s">
        <v>378</v>
      </c>
      <c r="G138" s="28" t="s">
        <v>379</v>
      </c>
      <c r="H138" s="28" t="s">
        <v>420</v>
      </c>
      <c r="I138" s="28" t="s">
        <v>510</v>
      </c>
      <c r="J138" s="28" t="s">
        <v>382</v>
      </c>
      <c r="K138" s="28" t="s">
        <v>515</v>
      </c>
      <c r="L138" s="28" t="s">
        <v>407</v>
      </c>
      <c r="M138" s="28" t="s">
        <v>449</v>
      </c>
      <c r="N138" s="28"/>
      <c r="O138" s="28"/>
      <c r="P138" s="28" t="s">
        <v>384</v>
      </c>
      <c r="Q138" s="28" t="s">
        <v>420</v>
      </c>
      <c r="R138" s="28" t="s">
        <v>510</v>
      </c>
      <c r="S138" s="28" t="s">
        <v>516</v>
      </c>
    </row>
    <row r="139" spans="1:19" x14ac:dyDescent="0.5">
      <c r="A139" s="28" t="s">
        <v>518</v>
      </c>
      <c r="B139" s="28" t="s">
        <v>337</v>
      </c>
      <c r="C139" s="28" t="s">
        <v>338</v>
      </c>
      <c r="D139" s="28" t="s">
        <v>482</v>
      </c>
      <c r="E139" s="28" t="s">
        <v>519</v>
      </c>
      <c r="F139" s="28" t="s">
        <v>378</v>
      </c>
      <c r="G139" s="28" t="s">
        <v>379</v>
      </c>
      <c r="H139" s="28" t="s">
        <v>420</v>
      </c>
      <c r="I139" s="28" t="s">
        <v>520</v>
      </c>
      <c r="J139" s="28" t="s">
        <v>382</v>
      </c>
      <c r="K139" s="28" t="s">
        <v>521</v>
      </c>
      <c r="L139" s="28" t="s">
        <v>407</v>
      </c>
      <c r="M139" s="28" t="s">
        <v>414</v>
      </c>
      <c r="N139" s="28"/>
      <c r="O139" s="28"/>
      <c r="P139" s="28" t="s">
        <v>384</v>
      </c>
      <c r="Q139" s="28" t="s">
        <v>420</v>
      </c>
      <c r="R139" s="28" t="s">
        <v>520</v>
      </c>
      <c r="S139" s="28" t="s">
        <v>522</v>
      </c>
    </row>
    <row r="140" spans="1:19" x14ac:dyDescent="0.5">
      <c r="A140" s="28" t="s">
        <v>523</v>
      </c>
      <c r="B140" s="28" t="s">
        <v>352</v>
      </c>
      <c r="C140" s="28" t="s">
        <v>353</v>
      </c>
      <c r="D140" s="28" t="s">
        <v>489</v>
      </c>
      <c r="E140" s="28" t="s">
        <v>519</v>
      </c>
      <c r="F140" s="28" t="s">
        <v>378</v>
      </c>
      <c r="G140" s="28" t="s">
        <v>379</v>
      </c>
      <c r="H140" s="28" t="s">
        <v>420</v>
      </c>
      <c r="I140" s="28" t="s">
        <v>520</v>
      </c>
      <c r="J140" s="28" t="s">
        <v>382</v>
      </c>
      <c r="K140" s="28" t="s">
        <v>521</v>
      </c>
      <c r="L140" s="28" t="s">
        <v>407</v>
      </c>
      <c r="M140" s="28" t="s">
        <v>414</v>
      </c>
      <c r="N140" s="28"/>
      <c r="O140" s="28"/>
      <c r="P140" s="28" t="s">
        <v>384</v>
      </c>
      <c r="Q140" s="28" t="s">
        <v>420</v>
      </c>
      <c r="R140" s="28" t="s">
        <v>520</v>
      </c>
      <c r="S140" s="28" t="s">
        <v>522</v>
      </c>
    </row>
    <row r="141" spans="1:19" x14ac:dyDescent="0.5">
      <c r="A141" s="28" t="s">
        <v>524</v>
      </c>
      <c r="B141" s="28" t="s">
        <v>337</v>
      </c>
      <c r="C141" s="28" t="s">
        <v>338</v>
      </c>
      <c r="D141" s="28" t="s">
        <v>482</v>
      </c>
      <c r="E141" s="28" t="s">
        <v>519</v>
      </c>
      <c r="F141" s="28" t="s">
        <v>378</v>
      </c>
      <c r="G141" s="28" t="s">
        <v>379</v>
      </c>
      <c r="H141" s="28" t="s">
        <v>420</v>
      </c>
      <c r="I141" s="28" t="s">
        <v>520</v>
      </c>
      <c r="J141" s="28" t="s">
        <v>382</v>
      </c>
      <c r="K141" s="28" t="s">
        <v>525</v>
      </c>
      <c r="L141" s="28" t="s">
        <v>357</v>
      </c>
      <c r="M141" s="28" t="s">
        <v>414</v>
      </c>
      <c r="N141" s="28" t="s">
        <v>433</v>
      </c>
      <c r="O141" s="28"/>
      <c r="P141" s="28" t="s">
        <v>384</v>
      </c>
      <c r="Q141" s="28" t="s">
        <v>420</v>
      </c>
      <c r="R141" s="28" t="s">
        <v>520</v>
      </c>
      <c r="S141" s="28" t="s">
        <v>526</v>
      </c>
    </row>
    <row r="150" spans="1:71" x14ac:dyDescent="0.5">
      <c r="A150" s="87" t="s">
        <v>273</v>
      </c>
      <c r="B150" s="87" t="s">
        <v>166</v>
      </c>
      <c r="C150" s="87" t="s">
        <v>274</v>
      </c>
      <c r="D150" s="87" t="s">
        <v>275</v>
      </c>
      <c r="E150" s="87" t="s">
        <v>276</v>
      </c>
      <c r="F150" s="87" t="s">
        <v>277</v>
      </c>
      <c r="G150" s="87" t="s">
        <v>278</v>
      </c>
      <c r="H150" s="87" t="s">
        <v>279</v>
      </c>
      <c r="I150" s="87" t="s">
        <v>280</v>
      </c>
      <c r="J150" s="87" t="s">
        <v>281</v>
      </c>
      <c r="K150" s="87" t="s">
        <v>282</v>
      </c>
      <c r="L150" s="87" t="s">
        <v>283</v>
      </c>
      <c r="M150" s="87" t="s">
        <v>284</v>
      </c>
      <c r="N150" s="87" t="s">
        <v>285</v>
      </c>
      <c r="O150" s="87" t="s">
        <v>286</v>
      </c>
      <c r="P150" s="87" t="s">
        <v>287</v>
      </c>
      <c r="Q150" s="87" t="s">
        <v>288</v>
      </c>
      <c r="R150" s="87" t="s">
        <v>289</v>
      </c>
      <c r="S150" s="87" t="s">
        <v>290</v>
      </c>
      <c r="T150" s="87" t="s">
        <v>291</v>
      </c>
      <c r="U150" s="87" t="s">
        <v>292</v>
      </c>
      <c r="V150" s="87" t="s">
        <v>293</v>
      </c>
      <c r="W150" s="87" t="s">
        <v>294</v>
      </c>
      <c r="X150" s="87" t="s">
        <v>295</v>
      </c>
      <c r="Y150" s="87" t="s">
        <v>296</v>
      </c>
      <c r="Z150" s="87" t="s">
        <v>297</v>
      </c>
      <c r="AA150" s="87" t="s">
        <v>298</v>
      </c>
      <c r="AB150" s="87" t="s">
        <v>299</v>
      </c>
      <c r="AC150" s="87" t="s">
        <v>300</v>
      </c>
      <c r="AD150" s="87" t="s">
        <v>301</v>
      </c>
      <c r="AE150" s="87" t="s">
        <v>302</v>
      </c>
      <c r="AF150" s="87" t="s">
        <v>303</v>
      </c>
      <c r="AG150" s="87" t="s">
        <v>304</v>
      </c>
      <c r="AH150" s="87" t="s">
        <v>305</v>
      </c>
      <c r="AI150" s="87" t="s">
        <v>306</v>
      </c>
      <c r="AJ150" s="87" t="s">
        <v>307</v>
      </c>
      <c r="AK150" s="87" t="s">
        <v>308</v>
      </c>
      <c r="AL150" s="87" t="s">
        <v>309</v>
      </c>
      <c r="AM150" s="87" t="s">
        <v>310</v>
      </c>
      <c r="AN150" s="87" t="s">
        <v>311</v>
      </c>
      <c r="AO150" s="87" t="s">
        <v>312</v>
      </c>
      <c r="AP150" s="87" t="s">
        <v>313</v>
      </c>
      <c r="AQ150" s="87" t="s">
        <v>314</v>
      </c>
      <c r="AR150" s="87" t="s">
        <v>315</v>
      </c>
      <c r="AS150" s="87" t="s">
        <v>316</v>
      </c>
      <c r="AT150" s="87" t="s">
        <v>317</v>
      </c>
      <c r="AU150" s="87" t="s">
        <v>318</v>
      </c>
      <c r="AV150" s="87" t="s">
        <v>319</v>
      </c>
      <c r="AW150" s="87" t="s">
        <v>320</v>
      </c>
      <c r="AX150" s="87" t="s">
        <v>321</v>
      </c>
      <c r="AY150" s="87" t="s">
        <v>322</v>
      </c>
      <c r="AZ150" s="87" t="s">
        <v>323</v>
      </c>
      <c r="BA150" s="87" t="s">
        <v>324</v>
      </c>
      <c r="BB150" s="87" t="s">
        <v>325</v>
      </c>
      <c r="BC150" s="87" t="s">
        <v>326</v>
      </c>
      <c r="BD150" s="87" t="s">
        <v>327</v>
      </c>
      <c r="BE150" s="87" t="s">
        <v>328</v>
      </c>
      <c r="BF150" s="87" t="s">
        <v>329</v>
      </c>
      <c r="BG150" s="87" t="s">
        <v>330</v>
      </c>
      <c r="BH150" s="87" t="s">
        <v>331</v>
      </c>
      <c r="BI150" s="87" t="s">
        <v>332</v>
      </c>
      <c r="BJ150" s="87" t="s">
        <v>333</v>
      </c>
      <c r="BK150" s="87" t="s">
        <v>334</v>
      </c>
      <c r="BL150" s="87" t="s">
        <v>335</v>
      </c>
      <c r="BM150" s="87" t="s">
        <v>660</v>
      </c>
      <c r="BN150" s="87" t="s">
        <v>661</v>
      </c>
      <c r="BO150" s="87" t="s">
        <v>662</v>
      </c>
      <c r="BP150" s="87" t="s">
        <v>663</v>
      </c>
      <c r="BQ150" s="87" t="s">
        <v>664</v>
      </c>
      <c r="BR150" s="87" t="s">
        <v>665</v>
      </c>
      <c r="BS150" s="87" t="s">
        <v>666</v>
      </c>
    </row>
    <row r="151" spans="1:71" x14ac:dyDescent="0.5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87"/>
      <c r="BL151" s="87"/>
      <c r="BM151" s="87"/>
      <c r="BN151" s="87"/>
      <c r="BO151" s="87"/>
      <c r="BP151" s="87"/>
      <c r="BQ151" s="87"/>
      <c r="BR151" s="87"/>
      <c r="BS151" s="87"/>
    </row>
    <row r="152" spans="1:71" x14ac:dyDescent="0.5">
      <c r="A152" s="87" t="s">
        <v>667</v>
      </c>
      <c r="B152" s="87" t="s">
        <v>107</v>
      </c>
      <c r="C152" s="87" t="s">
        <v>97</v>
      </c>
      <c r="D152" s="87" t="s">
        <v>668</v>
      </c>
      <c r="E152" s="87" t="s">
        <v>109</v>
      </c>
      <c r="F152" s="87" t="s">
        <v>669</v>
      </c>
      <c r="G152" s="87" t="s">
        <v>670</v>
      </c>
      <c r="H152" s="87" t="s">
        <v>115</v>
      </c>
      <c r="I152" s="87" t="s">
        <v>671</v>
      </c>
      <c r="J152" s="87" t="s">
        <v>97</v>
      </c>
      <c r="K152" s="87" t="s">
        <v>672</v>
      </c>
      <c r="L152" s="87" t="s">
        <v>341</v>
      </c>
      <c r="M152" s="87" t="s">
        <v>127</v>
      </c>
      <c r="N152" s="87" t="s">
        <v>142</v>
      </c>
      <c r="O152" s="87" t="s">
        <v>111</v>
      </c>
      <c r="P152" s="87" t="s">
        <v>673</v>
      </c>
      <c r="Q152" s="87"/>
      <c r="R152" s="87"/>
      <c r="S152" s="87"/>
      <c r="T152" s="87"/>
      <c r="U152" s="87"/>
      <c r="V152" s="87" t="s">
        <v>674</v>
      </c>
      <c r="W152" s="87" t="s">
        <v>675</v>
      </c>
      <c r="X152" s="87" t="s">
        <v>676</v>
      </c>
      <c r="Y152" s="87"/>
      <c r="Z152" s="87"/>
      <c r="AA152" s="87"/>
      <c r="AB152" s="87"/>
      <c r="AC152" s="87"/>
      <c r="AD152" s="87" t="s">
        <v>109</v>
      </c>
      <c r="AE152" s="87"/>
      <c r="AF152" s="87"/>
      <c r="AG152" s="87" t="s">
        <v>677</v>
      </c>
      <c r="AH152" s="87" t="s">
        <v>112</v>
      </c>
      <c r="AI152" s="87"/>
      <c r="AJ152" s="87"/>
      <c r="AK152" s="87" t="s">
        <v>108</v>
      </c>
      <c r="AL152" s="87" t="s">
        <v>143</v>
      </c>
      <c r="AM152" s="87" t="s">
        <v>678</v>
      </c>
      <c r="AN152" s="87" t="s">
        <v>109</v>
      </c>
      <c r="AO152" s="87"/>
      <c r="AP152" s="87" t="s">
        <v>350</v>
      </c>
      <c r="AQ152" s="87"/>
      <c r="AR152" s="87"/>
      <c r="AS152" s="87"/>
      <c r="AT152" s="87"/>
      <c r="AU152" s="87" t="s">
        <v>142</v>
      </c>
      <c r="AV152" s="87"/>
      <c r="AW152" s="87"/>
      <c r="AX152" s="87" t="s">
        <v>679</v>
      </c>
      <c r="AY152" s="87"/>
      <c r="AZ152" s="87"/>
      <c r="BA152" s="87"/>
      <c r="BB152" s="87"/>
      <c r="BC152" s="87"/>
      <c r="BD152" s="87"/>
      <c r="BE152" s="87"/>
      <c r="BF152" s="87"/>
      <c r="BG152" s="87"/>
      <c r="BH152" s="87"/>
      <c r="BI152" s="87"/>
      <c r="BJ152" s="87"/>
      <c r="BK152" s="87"/>
      <c r="BL152" s="87"/>
      <c r="BM152" s="87"/>
      <c r="BN152" s="87"/>
      <c r="BO152" s="87"/>
      <c r="BP152" s="87"/>
      <c r="BQ152" s="87"/>
      <c r="BR152" s="87"/>
      <c r="BS152" s="87"/>
    </row>
    <row r="153" spans="1:71" x14ac:dyDescent="0.5">
      <c r="A153" s="87" t="s">
        <v>680</v>
      </c>
      <c r="B153" s="87" t="s">
        <v>107</v>
      </c>
      <c r="C153" s="87" t="s">
        <v>681</v>
      </c>
      <c r="D153" s="87" t="s">
        <v>668</v>
      </c>
      <c r="E153" s="87" t="s">
        <v>109</v>
      </c>
      <c r="F153" s="87" t="s">
        <v>669</v>
      </c>
      <c r="G153" s="87" t="s">
        <v>682</v>
      </c>
      <c r="H153" s="87" t="s">
        <v>115</v>
      </c>
      <c r="I153" s="87" t="s">
        <v>683</v>
      </c>
      <c r="J153" s="87" t="s">
        <v>681</v>
      </c>
      <c r="K153" s="87" t="s">
        <v>684</v>
      </c>
      <c r="L153" s="87" t="s">
        <v>341</v>
      </c>
      <c r="M153" s="87" t="s">
        <v>685</v>
      </c>
      <c r="N153" s="87" t="s">
        <v>142</v>
      </c>
      <c r="O153" s="87" t="s">
        <v>111</v>
      </c>
      <c r="P153" s="87" t="s">
        <v>686</v>
      </c>
      <c r="Q153" s="87"/>
      <c r="R153" s="87"/>
      <c r="S153" s="87"/>
      <c r="T153" s="87"/>
      <c r="U153" s="87"/>
      <c r="V153" s="87" t="s">
        <v>687</v>
      </c>
      <c r="W153" s="87" t="s">
        <v>688</v>
      </c>
      <c r="X153" s="87" t="s">
        <v>676</v>
      </c>
      <c r="Y153" s="87"/>
      <c r="Z153" s="87"/>
      <c r="AA153" s="87"/>
      <c r="AB153" s="87"/>
      <c r="AC153" s="87"/>
      <c r="AD153" s="87" t="s">
        <v>109</v>
      </c>
      <c r="AE153" s="87"/>
      <c r="AF153" s="87"/>
      <c r="AG153" s="87" t="s">
        <v>677</v>
      </c>
      <c r="AH153" s="87" t="s">
        <v>112</v>
      </c>
      <c r="AI153" s="87"/>
      <c r="AJ153" s="87"/>
      <c r="AK153" s="87" t="s">
        <v>108</v>
      </c>
      <c r="AL153" s="87" t="s">
        <v>143</v>
      </c>
      <c r="AM153" s="87" t="s">
        <v>689</v>
      </c>
      <c r="AN153" s="87" t="s">
        <v>109</v>
      </c>
      <c r="AO153" s="87"/>
      <c r="AP153" s="87" t="s">
        <v>350</v>
      </c>
      <c r="AQ153" s="87"/>
      <c r="AR153" s="87"/>
      <c r="AS153" s="87"/>
      <c r="AT153" s="87"/>
      <c r="AU153" s="87" t="s">
        <v>142</v>
      </c>
      <c r="AV153" s="87"/>
      <c r="AW153" s="87"/>
      <c r="AX153" s="87" t="s">
        <v>690</v>
      </c>
      <c r="AY153" s="87"/>
      <c r="AZ153" s="87"/>
      <c r="BA153" s="87"/>
      <c r="BB153" s="87"/>
      <c r="BC153" s="87"/>
      <c r="BD153" s="87"/>
      <c r="BE153" s="87"/>
      <c r="BF153" s="87"/>
      <c r="BG153" s="87"/>
      <c r="BH153" s="87"/>
      <c r="BI153" s="87"/>
      <c r="BJ153" s="87"/>
      <c r="BK153" s="87"/>
      <c r="BL153" s="87"/>
      <c r="BM153" s="87"/>
      <c r="BN153" s="87"/>
      <c r="BO153" s="87"/>
      <c r="BP153" s="87"/>
      <c r="BQ153" s="87"/>
      <c r="BR153" s="87"/>
      <c r="BS153" s="87"/>
    </row>
    <row r="154" spans="1:71" x14ac:dyDescent="0.5">
      <c r="A154" s="87" t="s">
        <v>691</v>
      </c>
      <c r="B154" s="87" t="s">
        <v>107</v>
      </c>
      <c r="C154" s="87" t="s">
        <v>338</v>
      </c>
      <c r="D154" s="87" t="s">
        <v>668</v>
      </c>
      <c r="E154" s="87" t="s">
        <v>109</v>
      </c>
      <c r="F154" s="87" t="s">
        <v>669</v>
      </c>
      <c r="G154" s="87" t="s">
        <v>692</v>
      </c>
      <c r="H154" s="87" t="s">
        <v>115</v>
      </c>
      <c r="I154" s="87" t="s">
        <v>683</v>
      </c>
      <c r="J154" s="87" t="s">
        <v>338</v>
      </c>
      <c r="K154" s="87" t="s">
        <v>672</v>
      </c>
      <c r="L154" s="87" t="s">
        <v>341</v>
      </c>
      <c r="M154" s="87" t="s">
        <v>693</v>
      </c>
      <c r="N154" s="87" t="s">
        <v>142</v>
      </c>
      <c r="O154" s="87" t="s">
        <v>111</v>
      </c>
      <c r="P154" s="87" t="s">
        <v>694</v>
      </c>
      <c r="Q154" s="87"/>
      <c r="R154" s="87"/>
      <c r="S154" s="87"/>
      <c r="T154" s="87"/>
      <c r="U154" s="87"/>
      <c r="V154" s="87" t="s">
        <v>695</v>
      </c>
      <c r="W154" s="87" t="s">
        <v>696</v>
      </c>
      <c r="X154" s="87" t="s">
        <v>676</v>
      </c>
      <c r="Y154" s="87"/>
      <c r="Z154" s="87"/>
      <c r="AA154" s="87"/>
      <c r="AB154" s="87"/>
      <c r="AC154" s="87"/>
      <c r="AD154" s="87" t="s">
        <v>109</v>
      </c>
      <c r="AE154" s="87"/>
      <c r="AF154" s="87"/>
      <c r="AG154" s="87" t="s">
        <v>677</v>
      </c>
      <c r="AH154" s="87" t="s">
        <v>112</v>
      </c>
      <c r="AI154" s="87"/>
      <c r="AJ154" s="87"/>
      <c r="AK154" s="87" t="s">
        <v>108</v>
      </c>
      <c r="AL154" s="87" t="s">
        <v>143</v>
      </c>
      <c r="AM154" s="87" t="s">
        <v>697</v>
      </c>
      <c r="AN154" s="87" t="s">
        <v>109</v>
      </c>
      <c r="AO154" s="87"/>
      <c r="AP154" s="87" t="s">
        <v>350</v>
      </c>
      <c r="AQ154" s="87"/>
      <c r="AR154" s="87"/>
      <c r="AS154" s="87"/>
      <c r="AT154" s="87"/>
      <c r="AU154" s="87" t="s">
        <v>142</v>
      </c>
      <c r="AV154" s="87"/>
      <c r="AW154" s="87"/>
      <c r="AX154" s="87" t="s">
        <v>690</v>
      </c>
      <c r="AY154" s="87"/>
      <c r="AZ154" s="87"/>
      <c r="BA154" s="87"/>
      <c r="BB154" s="87"/>
      <c r="BC154" s="87"/>
      <c r="BD154" s="87"/>
      <c r="BE154" s="87"/>
      <c r="BF154" s="87"/>
      <c r="BG154" s="87"/>
      <c r="BH154" s="87"/>
      <c r="BI154" s="87"/>
      <c r="BJ154" s="87"/>
      <c r="BK154" s="87"/>
      <c r="BL154" s="87"/>
      <c r="BM154" s="87"/>
      <c r="BN154" s="87"/>
      <c r="BO154" s="87"/>
      <c r="BP154" s="87"/>
      <c r="BQ154" s="87"/>
      <c r="BR154" s="87"/>
      <c r="BS154" s="87"/>
    </row>
    <row r="155" spans="1:71" x14ac:dyDescent="0.5">
      <c r="A155" s="87" t="s">
        <v>698</v>
      </c>
      <c r="B155" s="87" t="s">
        <v>107</v>
      </c>
      <c r="C155" s="87" t="s">
        <v>699</v>
      </c>
      <c r="D155" s="87" t="s">
        <v>668</v>
      </c>
      <c r="E155" s="87" t="s">
        <v>109</v>
      </c>
      <c r="F155" s="87" t="s">
        <v>669</v>
      </c>
      <c r="G155" s="87" t="s">
        <v>700</v>
      </c>
      <c r="H155" s="87" t="s">
        <v>115</v>
      </c>
      <c r="I155" s="87" t="s">
        <v>683</v>
      </c>
      <c r="J155" s="87" t="s">
        <v>699</v>
      </c>
      <c r="K155" s="87" t="s">
        <v>684</v>
      </c>
      <c r="L155" s="87" t="s">
        <v>341</v>
      </c>
      <c r="M155" s="87" t="s">
        <v>342</v>
      </c>
      <c r="N155" s="87" t="s">
        <v>142</v>
      </c>
      <c r="O155" s="87" t="s">
        <v>111</v>
      </c>
      <c r="P155" s="87" t="s">
        <v>701</v>
      </c>
      <c r="Q155" s="87"/>
      <c r="R155" s="87"/>
      <c r="S155" s="87"/>
      <c r="T155" s="87"/>
      <c r="U155" s="87"/>
      <c r="V155" s="87" t="s">
        <v>702</v>
      </c>
      <c r="W155" s="87" t="s">
        <v>703</v>
      </c>
      <c r="X155" s="87" t="s">
        <v>676</v>
      </c>
      <c r="Y155" s="87"/>
      <c r="Z155" s="87"/>
      <c r="AA155" s="87"/>
      <c r="AB155" s="87"/>
      <c r="AC155" s="87"/>
      <c r="AD155" s="87" t="s">
        <v>109</v>
      </c>
      <c r="AE155" s="87"/>
      <c r="AF155" s="87"/>
      <c r="AG155" s="87" t="s">
        <v>677</v>
      </c>
      <c r="AH155" s="87" t="s">
        <v>112</v>
      </c>
      <c r="AI155" s="87"/>
      <c r="AJ155" s="87"/>
      <c r="AK155" s="87" t="s">
        <v>108</v>
      </c>
      <c r="AL155" s="87" t="s">
        <v>143</v>
      </c>
      <c r="AM155" s="87" t="s">
        <v>704</v>
      </c>
      <c r="AN155" s="87" t="s">
        <v>109</v>
      </c>
      <c r="AO155" s="87"/>
      <c r="AP155" s="87" t="s">
        <v>350</v>
      </c>
      <c r="AQ155" s="87"/>
      <c r="AR155" s="87"/>
      <c r="AS155" s="87"/>
      <c r="AT155" s="87"/>
      <c r="AU155" s="87" t="s">
        <v>142</v>
      </c>
      <c r="AV155" s="87"/>
      <c r="AW155" s="87"/>
      <c r="AX155" s="87" t="s">
        <v>690</v>
      </c>
      <c r="AY155" s="87"/>
      <c r="AZ155" s="87"/>
      <c r="BA155" s="87"/>
      <c r="BB155" s="87"/>
      <c r="BC155" s="87"/>
      <c r="BD155" s="87"/>
      <c r="BE155" s="87"/>
      <c r="BF155" s="87"/>
      <c r="BG155" s="87"/>
      <c r="BH155" s="87"/>
      <c r="BI155" s="87"/>
      <c r="BJ155" s="87"/>
      <c r="BK155" s="87"/>
      <c r="BL155" s="87"/>
      <c r="BM155" s="87"/>
      <c r="BN155" s="87"/>
      <c r="BO155" s="87"/>
      <c r="BP155" s="87"/>
      <c r="BQ155" s="87"/>
      <c r="BR155" s="87"/>
      <c r="BS155" s="87"/>
    </row>
    <row r="156" spans="1:71" x14ac:dyDescent="0.5">
      <c r="A156" s="87" t="s">
        <v>705</v>
      </c>
      <c r="B156" s="87" t="s">
        <v>107</v>
      </c>
      <c r="C156" s="87" t="s">
        <v>706</v>
      </c>
      <c r="D156" s="87" t="s">
        <v>668</v>
      </c>
      <c r="E156" s="87" t="s">
        <v>109</v>
      </c>
      <c r="F156" s="87" t="s">
        <v>669</v>
      </c>
      <c r="G156" s="87" t="s">
        <v>707</v>
      </c>
      <c r="H156" s="87" t="s">
        <v>115</v>
      </c>
      <c r="I156" s="87" t="s">
        <v>683</v>
      </c>
      <c r="J156" s="87" t="s">
        <v>706</v>
      </c>
      <c r="K156" s="87" t="s">
        <v>684</v>
      </c>
      <c r="L156" s="87" t="s">
        <v>341</v>
      </c>
      <c r="M156" s="87" t="s">
        <v>144</v>
      </c>
      <c r="N156" s="87" t="s">
        <v>142</v>
      </c>
      <c r="O156" s="87" t="s">
        <v>111</v>
      </c>
      <c r="P156" s="87" t="s">
        <v>708</v>
      </c>
      <c r="Q156" s="87"/>
      <c r="R156" s="87"/>
      <c r="S156" s="87"/>
      <c r="T156" s="87"/>
      <c r="U156" s="87"/>
      <c r="V156" s="87" t="s">
        <v>709</v>
      </c>
      <c r="W156" s="87" t="s">
        <v>710</v>
      </c>
      <c r="X156" s="87" t="s">
        <v>711</v>
      </c>
      <c r="Y156" s="87"/>
      <c r="Z156" s="87"/>
      <c r="AA156" s="87"/>
      <c r="AB156" s="87"/>
      <c r="AC156" s="87"/>
      <c r="AD156" s="87" t="s">
        <v>109</v>
      </c>
      <c r="AE156" s="87"/>
      <c r="AF156" s="87"/>
      <c r="AG156" s="87" t="s">
        <v>677</v>
      </c>
      <c r="AH156" s="87" t="s">
        <v>112</v>
      </c>
      <c r="AI156" s="87"/>
      <c r="AJ156" s="87"/>
      <c r="AK156" s="87" t="s">
        <v>108</v>
      </c>
      <c r="AL156" s="87" t="s">
        <v>143</v>
      </c>
      <c r="AM156" s="87" t="s">
        <v>712</v>
      </c>
      <c r="AN156" s="87" t="s">
        <v>109</v>
      </c>
      <c r="AO156" s="87"/>
      <c r="AP156" s="87" t="s">
        <v>350</v>
      </c>
      <c r="AQ156" s="87"/>
      <c r="AR156" s="87"/>
      <c r="AS156" s="87"/>
      <c r="AT156" s="87"/>
      <c r="AU156" s="87" t="s">
        <v>142</v>
      </c>
      <c r="AV156" s="87"/>
      <c r="AW156" s="87"/>
      <c r="AX156" s="87" t="s">
        <v>690</v>
      </c>
      <c r="AY156" s="87"/>
      <c r="AZ156" s="87"/>
      <c r="BA156" s="87"/>
      <c r="BB156" s="87"/>
      <c r="BC156" s="87"/>
      <c r="BD156" s="87"/>
      <c r="BE156" s="87"/>
      <c r="BF156" s="87"/>
      <c r="BG156" s="87"/>
      <c r="BH156" s="87"/>
      <c r="BI156" s="87"/>
      <c r="BJ156" s="87"/>
      <c r="BK156" s="87"/>
      <c r="BL156" s="87"/>
      <c r="BM156" s="87"/>
      <c r="BN156" s="87"/>
      <c r="BO156" s="87"/>
      <c r="BP156" s="87"/>
      <c r="BQ156" s="87"/>
      <c r="BR156" s="87"/>
      <c r="BS156" s="87"/>
    </row>
    <row r="157" spans="1:71" x14ac:dyDescent="0.5">
      <c r="A157" s="87" t="s">
        <v>713</v>
      </c>
      <c r="B157" s="87" t="s">
        <v>107</v>
      </c>
      <c r="C157" s="87" t="s">
        <v>714</v>
      </c>
      <c r="D157" s="87" t="s">
        <v>668</v>
      </c>
      <c r="E157" s="87" t="s">
        <v>109</v>
      </c>
      <c r="F157" s="87" t="s">
        <v>669</v>
      </c>
      <c r="G157" s="87" t="s">
        <v>715</v>
      </c>
      <c r="H157" s="87" t="s">
        <v>115</v>
      </c>
      <c r="I157" s="87" t="s">
        <v>683</v>
      </c>
      <c r="J157" s="87" t="s">
        <v>714</v>
      </c>
      <c r="K157" s="87" t="s">
        <v>684</v>
      </c>
      <c r="L157" s="87" t="s">
        <v>341</v>
      </c>
      <c r="M157" s="87" t="s">
        <v>693</v>
      </c>
      <c r="N157" s="87" t="s">
        <v>142</v>
      </c>
      <c r="O157" s="87" t="s">
        <v>111</v>
      </c>
      <c r="P157" s="87" t="s">
        <v>716</v>
      </c>
      <c r="Q157" s="87"/>
      <c r="R157" s="87"/>
      <c r="S157" s="87"/>
      <c r="T157" s="87"/>
      <c r="U157" s="87"/>
      <c r="V157" s="87" t="s">
        <v>717</v>
      </c>
      <c r="W157" s="87" t="s">
        <v>718</v>
      </c>
      <c r="X157" s="87" t="s">
        <v>676</v>
      </c>
      <c r="Y157" s="87"/>
      <c r="Z157" s="87"/>
      <c r="AA157" s="87"/>
      <c r="AB157" s="87"/>
      <c r="AC157" s="87"/>
      <c r="AD157" s="87" t="s">
        <v>109</v>
      </c>
      <c r="AE157" s="87"/>
      <c r="AF157" s="87"/>
      <c r="AG157" s="87" t="s">
        <v>677</v>
      </c>
      <c r="AH157" s="87" t="s">
        <v>112</v>
      </c>
      <c r="AI157" s="87"/>
      <c r="AJ157" s="87"/>
      <c r="AK157" s="87" t="s">
        <v>108</v>
      </c>
      <c r="AL157" s="87" t="s">
        <v>143</v>
      </c>
      <c r="AM157" s="87" t="s">
        <v>719</v>
      </c>
      <c r="AN157" s="87" t="s">
        <v>109</v>
      </c>
      <c r="AO157" s="87"/>
      <c r="AP157" s="87" t="s">
        <v>350</v>
      </c>
      <c r="AQ157" s="87"/>
      <c r="AR157" s="87"/>
      <c r="AS157" s="87"/>
      <c r="AT157" s="87"/>
      <c r="AU157" s="87" t="s">
        <v>142</v>
      </c>
      <c r="AV157" s="87"/>
      <c r="AW157" s="87"/>
      <c r="AX157" s="87" t="s">
        <v>690</v>
      </c>
      <c r="AY157" s="87"/>
      <c r="AZ157" s="87"/>
      <c r="BA157" s="87"/>
      <c r="BB157" s="87"/>
      <c r="BC157" s="87"/>
      <c r="BD157" s="87"/>
      <c r="BE157" s="87"/>
      <c r="BF157" s="87"/>
      <c r="BG157" s="87"/>
      <c r="BH157" s="87"/>
      <c r="BI157" s="87"/>
      <c r="BJ157" s="87"/>
      <c r="BK157" s="87"/>
      <c r="BL157" s="87"/>
      <c r="BM157" s="87"/>
      <c r="BN157" s="87"/>
      <c r="BO157" s="87"/>
      <c r="BP157" s="87"/>
      <c r="BQ157" s="87"/>
      <c r="BR157" s="87"/>
      <c r="BS157" s="87"/>
    </row>
    <row r="158" spans="1:71" x14ac:dyDescent="0.5">
      <c r="A158" s="87" t="s">
        <v>720</v>
      </c>
      <c r="B158" s="87" t="s">
        <v>107</v>
      </c>
      <c r="C158" s="87" t="s">
        <v>721</v>
      </c>
      <c r="D158" s="87" t="s">
        <v>668</v>
      </c>
      <c r="E158" s="87" t="s">
        <v>109</v>
      </c>
      <c r="F158" s="87" t="s">
        <v>669</v>
      </c>
      <c r="G158" s="87" t="s">
        <v>722</v>
      </c>
      <c r="H158" s="87" t="s">
        <v>115</v>
      </c>
      <c r="I158" s="87" t="s">
        <v>683</v>
      </c>
      <c r="J158" s="87" t="s">
        <v>721</v>
      </c>
      <c r="K158" s="87" t="s">
        <v>723</v>
      </c>
      <c r="L158" s="87" t="s">
        <v>341</v>
      </c>
      <c r="M158" s="87" t="s">
        <v>724</v>
      </c>
      <c r="N158" s="87" t="s">
        <v>142</v>
      </c>
      <c r="O158" s="87" t="s">
        <v>111</v>
      </c>
      <c r="P158" s="87" t="s">
        <v>725</v>
      </c>
      <c r="Q158" s="87"/>
      <c r="R158" s="87"/>
      <c r="S158" s="87"/>
      <c r="T158" s="87"/>
      <c r="U158" s="87"/>
      <c r="V158" s="87" t="s">
        <v>726</v>
      </c>
      <c r="W158" s="87" t="s">
        <v>727</v>
      </c>
      <c r="X158" s="87" t="s">
        <v>676</v>
      </c>
      <c r="Y158" s="87"/>
      <c r="Z158" s="87"/>
      <c r="AA158" s="87"/>
      <c r="AB158" s="87"/>
      <c r="AC158" s="87"/>
      <c r="AD158" s="87" t="s">
        <v>109</v>
      </c>
      <c r="AE158" s="87"/>
      <c r="AF158" s="87"/>
      <c r="AG158" s="87" t="s">
        <v>677</v>
      </c>
      <c r="AH158" s="87" t="s">
        <v>112</v>
      </c>
      <c r="AI158" s="87"/>
      <c r="AJ158" s="87"/>
      <c r="AK158" s="87" t="s">
        <v>108</v>
      </c>
      <c r="AL158" s="87" t="s">
        <v>143</v>
      </c>
      <c r="AM158" s="87" t="s">
        <v>728</v>
      </c>
      <c r="AN158" s="87" t="s">
        <v>109</v>
      </c>
      <c r="AO158" s="87"/>
      <c r="AP158" s="87" t="s">
        <v>350</v>
      </c>
      <c r="AQ158" s="87"/>
      <c r="AR158" s="87"/>
      <c r="AS158" s="87"/>
      <c r="AT158" s="87"/>
      <c r="AU158" s="87" t="s">
        <v>142</v>
      </c>
      <c r="AV158" s="87"/>
      <c r="AW158" s="87"/>
      <c r="AX158" s="87" t="s">
        <v>690</v>
      </c>
      <c r="AY158" s="87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7"/>
      <c r="BR158" s="87"/>
      <c r="BS158" s="87"/>
    </row>
    <row r="159" spans="1:71" x14ac:dyDescent="0.5">
      <c r="A159" s="87" t="s">
        <v>729</v>
      </c>
      <c r="B159" s="87" t="s">
        <v>107</v>
      </c>
      <c r="C159" s="87" t="s">
        <v>721</v>
      </c>
      <c r="D159" s="87" t="s">
        <v>668</v>
      </c>
      <c r="E159" s="87" t="s">
        <v>109</v>
      </c>
      <c r="F159" s="87" t="s">
        <v>669</v>
      </c>
      <c r="G159" s="87"/>
      <c r="H159" s="87" t="s">
        <v>445</v>
      </c>
      <c r="I159" s="87" t="s">
        <v>683</v>
      </c>
      <c r="J159" s="87" t="s">
        <v>721</v>
      </c>
      <c r="K159" s="87"/>
      <c r="L159" s="87" t="s">
        <v>341</v>
      </c>
      <c r="M159" s="87" t="s">
        <v>731</v>
      </c>
      <c r="N159" s="87" t="s">
        <v>142</v>
      </c>
      <c r="O159" s="87" t="s">
        <v>111</v>
      </c>
      <c r="P159" s="87" t="s">
        <v>725</v>
      </c>
      <c r="Q159" s="87"/>
      <c r="R159" s="87"/>
      <c r="S159" s="87"/>
      <c r="T159" s="87"/>
      <c r="U159" s="87"/>
      <c r="V159" s="87" t="s">
        <v>726</v>
      </c>
      <c r="W159" s="87" t="s">
        <v>727</v>
      </c>
      <c r="X159" s="87" t="s">
        <v>676</v>
      </c>
      <c r="Y159" s="87"/>
      <c r="Z159" s="87"/>
      <c r="AA159" s="87"/>
      <c r="AB159" s="87"/>
      <c r="AC159" s="87"/>
      <c r="AD159" s="87" t="s">
        <v>109</v>
      </c>
      <c r="AE159" s="87" t="s">
        <v>720</v>
      </c>
      <c r="AF159" s="87" t="s">
        <v>732</v>
      </c>
      <c r="AG159" s="87" t="s">
        <v>677</v>
      </c>
      <c r="AH159" s="87" t="s">
        <v>112</v>
      </c>
      <c r="AI159" s="87"/>
      <c r="AJ159" s="87"/>
      <c r="AK159" s="87" t="s">
        <v>448</v>
      </c>
      <c r="AL159" s="87" t="s">
        <v>449</v>
      </c>
      <c r="AM159" s="87" t="s">
        <v>733</v>
      </c>
      <c r="AN159" s="87" t="s">
        <v>109</v>
      </c>
      <c r="AO159" s="87"/>
      <c r="AP159" s="87" t="s">
        <v>350</v>
      </c>
      <c r="AQ159" s="87"/>
      <c r="AR159" s="87"/>
      <c r="AS159" s="87"/>
      <c r="AT159" s="87"/>
      <c r="AU159" s="87" t="s">
        <v>142</v>
      </c>
      <c r="AV159" s="87"/>
      <c r="AW159" s="87"/>
      <c r="AX159" s="87"/>
      <c r="AY159" s="87"/>
      <c r="AZ159" s="87"/>
      <c r="BA159" s="87"/>
      <c r="BB159" s="87"/>
      <c r="BC159" s="87"/>
      <c r="BD159" s="87"/>
      <c r="BE159" s="87"/>
      <c r="BF159" s="87"/>
      <c r="BG159" s="87"/>
      <c r="BH159" s="87"/>
      <c r="BI159" s="87"/>
      <c r="BJ159" s="87"/>
      <c r="BK159" s="87"/>
      <c r="BL159" s="87"/>
      <c r="BM159" s="87"/>
      <c r="BN159" s="87"/>
      <c r="BO159" s="87"/>
      <c r="BP159" s="87"/>
      <c r="BQ159" s="87"/>
      <c r="BR159" s="87"/>
      <c r="BS159" s="87"/>
    </row>
    <row r="160" spans="1:71" x14ac:dyDescent="0.5">
      <c r="A160" s="87" t="s">
        <v>734</v>
      </c>
      <c r="B160" s="87" t="s">
        <v>107</v>
      </c>
      <c r="C160" s="87" t="s">
        <v>714</v>
      </c>
      <c r="D160" s="87" t="s">
        <v>668</v>
      </c>
      <c r="E160" s="87" t="s">
        <v>109</v>
      </c>
      <c r="F160" s="87" t="s">
        <v>669</v>
      </c>
      <c r="G160" s="87"/>
      <c r="H160" s="87" t="s">
        <v>445</v>
      </c>
      <c r="I160" s="87" t="s">
        <v>683</v>
      </c>
      <c r="J160" s="87" t="s">
        <v>714</v>
      </c>
      <c r="K160" s="87"/>
      <c r="L160" s="87" t="s">
        <v>341</v>
      </c>
      <c r="M160" s="87" t="s">
        <v>736</v>
      </c>
      <c r="N160" s="87" t="s">
        <v>142</v>
      </c>
      <c r="O160" s="87" t="s">
        <v>111</v>
      </c>
      <c r="P160" s="87" t="s">
        <v>716</v>
      </c>
      <c r="Q160" s="87"/>
      <c r="R160" s="87"/>
      <c r="S160" s="87"/>
      <c r="T160" s="87"/>
      <c r="U160" s="87"/>
      <c r="V160" s="87" t="s">
        <v>717</v>
      </c>
      <c r="W160" s="87" t="s">
        <v>718</v>
      </c>
      <c r="X160" s="87" t="s">
        <v>676</v>
      </c>
      <c r="Y160" s="87"/>
      <c r="Z160" s="87"/>
      <c r="AA160" s="87"/>
      <c r="AB160" s="87"/>
      <c r="AC160" s="87"/>
      <c r="AD160" s="87" t="s">
        <v>109</v>
      </c>
      <c r="AE160" s="87" t="s">
        <v>713</v>
      </c>
      <c r="AF160" s="87" t="s">
        <v>737</v>
      </c>
      <c r="AG160" s="87" t="s">
        <v>677</v>
      </c>
      <c r="AH160" s="87" t="s">
        <v>112</v>
      </c>
      <c r="AI160" s="87"/>
      <c r="AJ160" s="87"/>
      <c r="AK160" s="87" t="s">
        <v>448</v>
      </c>
      <c r="AL160" s="87" t="s">
        <v>449</v>
      </c>
      <c r="AM160" s="87" t="s">
        <v>738</v>
      </c>
      <c r="AN160" s="87" t="s">
        <v>109</v>
      </c>
      <c r="AO160" s="87"/>
      <c r="AP160" s="87" t="s">
        <v>350</v>
      </c>
      <c r="AQ160" s="87"/>
      <c r="AR160" s="87"/>
      <c r="AS160" s="87"/>
      <c r="AT160" s="87"/>
      <c r="AU160" s="87" t="s">
        <v>142</v>
      </c>
      <c r="AV160" s="87"/>
      <c r="AW160" s="87"/>
      <c r="AX160" s="87"/>
      <c r="AY160" s="87"/>
      <c r="AZ160" s="87"/>
      <c r="BA160" s="87"/>
      <c r="BB160" s="87"/>
      <c r="BC160" s="87"/>
      <c r="BD160" s="87"/>
      <c r="BE160" s="87"/>
      <c r="BF160" s="87"/>
      <c r="BG160" s="87"/>
      <c r="BH160" s="87"/>
      <c r="BI160" s="87"/>
      <c r="BJ160" s="87"/>
      <c r="BK160" s="87"/>
      <c r="BL160" s="87"/>
      <c r="BM160" s="87"/>
      <c r="BN160" s="87"/>
      <c r="BO160" s="87"/>
      <c r="BP160" s="87"/>
      <c r="BQ160" s="87"/>
      <c r="BR160" s="87"/>
      <c r="BS160" s="87"/>
    </row>
    <row r="161" spans="1:71" x14ac:dyDescent="0.5">
      <c r="A161" s="87" t="s">
        <v>739</v>
      </c>
      <c r="B161" s="87" t="s">
        <v>107</v>
      </c>
      <c r="C161" s="87" t="s">
        <v>706</v>
      </c>
      <c r="D161" s="87" t="s">
        <v>668</v>
      </c>
      <c r="E161" s="87" t="s">
        <v>109</v>
      </c>
      <c r="F161" s="87" t="s">
        <v>669</v>
      </c>
      <c r="G161" s="87"/>
      <c r="H161" s="87" t="s">
        <v>445</v>
      </c>
      <c r="I161" s="87" t="s">
        <v>683</v>
      </c>
      <c r="J161" s="87" t="s">
        <v>706</v>
      </c>
      <c r="K161" s="87"/>
      <c r="L161" s="87" t="s">
        <v>341</v>
      </c>
      <c r="M161" s="87" t="s">
        <v>741</v>
      </c>
      <c r="N161" s="87" t="s">
        <v>142</v>
      </c>
      <c r="O161" s="87" t="s">
        <v>111</v>
      </c>
      <c r="P161" s="87" t="s">
        <v>708</v>
      </c>
      <c r="Q161" s="87"/>
      <c r="R161" s="87"/>
      <c r="S161" s="87"/>
      <c r="T161" s="87"/>
      <c r="U161" s="87"/>
      <c r="V161" s="87" t="s">
        <v>709</v>
      </c>
      <c r="W161" s="87" t="s">
        <v>710</v>
      </c>
      <c r="X161" s="87" t="s">
        <v>711</v>
      </c>
      <c r="Y161" s="87"/>
      <c r="Z161" s="87"/>
      <c r="AA161" s="87"/>
      <c r="AB161" s="87"/>
      <c r="AC161" s="87"/>
      <c r="AD161" s="87" t="s">
        <v>109</v>
      </c>
      <c r="AE161" s="87" t="s">
        <v>705</v>
      </c>
      <c r="AF161" s="87" t="s">
        <v>742</v>
      </c>
      <c r="AG161" s="87" t="s">
        <v>677</v>
      </c>
      <c r="AH161" s="87" t="s">
        <v>112</v>
      </c>
      <c r="AI161" s="87"/>
      <c r="AJ161" s="87"/>
      <c r="AK161" s="87" t="s">
        <v>448</v>
      </c>
      <c r="AL161" s="87" t="s">
        <v>449</v>
      </c>
      <c r="AM161" s="87" t="s">
        <v>743</v>
      </c>
      <c r="AN161" s="87" t="s">
        <v>109</v>
      </c>
      <c r="AO161" s="87"/>
      <c r="AP161" s="87" t="s">
        <v>350</v>
      </c>
      <c r="AQ161" s="87"/>
      <c r="AR161" s="87"/>
      <c r="AS161" s="87"/>
      <c r="AT161" s="87"/>
      <c r="AU161" s="87" t="s">
        <v>142</v>
      </c>
      <c r="AV161" s="87"/>
      <c r="AW161" s="87"/>
      <c r="AX161" s="87"/>
      <c r="AY161" s="87"/>
      <c r="AZ161" s="87"/>
      <c r="BA161" s="87"/>
      <c r="BB161" s="87"/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7"/>
      <c r="BR161" s="87"/>
      <c r="BS161" s="87"/>
    </row>
    <row r="162" spans="1:71" x14ac:dyDescent="0.5">
      <c r="A162" s="87" t="s">
        <v>744</v>
      </c>
      <c r="B162" s="87" t="s">
        <v>107</v>
      </c>
      <c r="C162" s="87" t="s">
        <v>699</v>
      </c>
      <c r="D162" s="87" t="s">
        <v>668</v>
      </c>
      <c r="E162" s="87" t="s">
        <v>109</v>
      </c>
      <c r="F162" s="87" t="s">
        <v>669</v>
      </c>
      <c r="G162" s="87"/>
      <c r="H162" s="87" t="s">
        <v>445</v>
      </c>
      <c r="I162" s="87" t="s">
        <v>683</v>
      </c>
      <c r="J162" s="87" t="s">
        <v>699</v>
      </c>
      <c r="K162" s="87"/>
      <c r="L162" s="87" t="s">
        <v>341</v>
      </c>
      <c r="M162" s="87" t="s">
        <v>446</v>
      </c>
      <c r="N162" s="87" t="s">
        <v>142</v>
      </c>
      <c r="O162" s="87" t="s">
        <v>111</v>
      </c>
      <c r="P162" s="87" t="s">
        <v>701</v>
      </c>
      <c r="Q162" s="87"/>
      <c r="R162" s="87"/>
      <c r="S162" s="87"/>
      <c r="T162" s="87"/>
      <c r="U162" s="87"/>
      <c r="V162" s="87" t="s">
        <v>702</v>
      </c>
      <c r="W162" s="87" t="s">
        <v>703</v>
      </c>
      <c r="X162" s="87" t="s">
        <v>676</v>
      </c>
      <c r="Y162" s="87"/>
      <c r="Z162" s="87"/>
      <c r="AA162" s="87"/>
      <c r="AB162" s="87"/>
      <c r="AC162" s="87"/>
      <c r="AD162" s="87" t="s">
        <v>109</v>
      </c>
      <c r="AE162" s="87" t="s">
        <v>698</v>
      </c>
      <c r="AF162" s="87" t="s">
        <v>746</v>
      </c>
      <c r="AG162" s="87" t="s">
        <v>677</v>
      </c>
      <c r="AH162" s="87" t="s">
        <v>112</v>
      </c>
      <c r="AI162" s="87"/>
      <c r="AJ162" s="87"/>
      <c r="AK162" s="87" t="s">
        <v>448</v>
      </c>
      <c r="AL162" s="87" t="s">
        <v>449</v>
      </c>
      <c r="AM162" s="87" t="s">
        <v>747</v>
      </c>
      <c r="AN162" s="87" t="s">
        <v>109</v>
      </c>
      <c r="AO162" s="87"/>
      <c r="AP162" s="87" t="s">
        <v>350</v>
      </c>
      <c r="AQ162" s="87"/>
      <c r="AR162" s="87"/>
      <c r="AS162" s="87"/>
      <c r="AT162" s="87"/>
      <c r="AU162" s="87" t="s">
        <v>142</v>
      </c>
      <c r="AV162" s="87"/>
      <c r="AW162" s="87"/>
      <c r="AX162" s="87"/>
      <c r="AY162" s="87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7"/>
      <c r="BR162" s="87"/>
      <c r="BS162" s="87"/>
    </row>
    <row r="163" spans="1:71" x14ac:dyDescent="0.5">
      <c r="A163" s="87" t="s">
        <v>748</v>
      </c>
      <c r="B163" s="87" t="s">
        <v>107</v>
      </c>
      <c r="C163" s="87" t="s">
        <v>338</v>
      </c>
      <c r="D163" s="87" t="s">
        <v>668</v>
      </c>
      <c r="E163" s="87" t="s">
        <v>109</v>
      </c>
      <c r="F163" s="87" t="s">
        <v>669</v>
      </c>
      <c r="G163" s="87"/>
      <c r="H163" s="87" t="s">
        <v>445</v>
      </c>
      <c r="I163" s="87" t="s">
        <v>683</v>
      </c>
      <c r="J163" s="87" t="s">
        <v>338</v>
      </c>
      <c r="K163" s="87"/>
      <c r="L163" s="87" t="s">
        <v>341</v>
      </c>
      <c r="M163" s="87" t="s">
        <v>736</v>
      </c>
      <c r="N163" s="87" t="s">
        <v>142</v>
      </c>
      <c r="O163" s="87" t="s">
        <v>111</v>
      </c>
      <c r="P163" s="87" t="s">
        <v>694</v>
      </c>
      <c r="Q163" s="87"/>
      <c r="R163" s="87"/>
      <c r="S163" s="87"/>
      <c r="T163" s="87"/>
      <c r="U163" s="87"/>
      <c r="V163" s="87" t="s">
        <v>695</v>
      </c>
      <c r="W163" s="87" t="s">
        <v>696</v>
      </c>
      <c r="X163" s="87" t="s">
        <v>676</v>
      </c>
      <c r="Y163" s="87"/>
      <c r="Z163" s="87"/>
      <c r="AA163" s="87"/>
      <c r="AB163" s="87"/>
      <c r="AC163" s="87"/>
      <c r="AD163" s="87" t="s">
        <v>109</v>
      </c>
      <c r="AE163" s="87" t="s">
        <v>691</v>
      </c>
      <c r="AF163" s="87" t="s">
        <v>750</v>
      </c>
      <c r="AG163" s="87" t="s">
        <v>677</v>
      </c>
      <c r="AH163" s="87" t="s">
        <v>112</v>
      </c>
      <c r="AI163" s="87"/>
      <c r="AJ163" s="87"/>
      <c r="AK163" s="87" t="s">
        <v>448</v>
      </c>
      <c r="AL163" s="87" t="s">
        <v>449</v>
      </c>
      <c r="AM163" s="87" t="s">
        <v>751</v>
      </c>
      <c r="AN163" s="87" t="s">
        <v>109</v>
      </c>
      <c r="AO163" s="87"/>
      <c r="AP163" s="87" t="s">
        <v>350</v>
      </c>
      <c r="AQ163" s="87"/>
      <c r="AR163" s="87"/>
      <c r="AS163" s="87"/>
      <c r="AT163" s="87"/>
      <c r="AU163" s="87" t="s">
        <v>142</v>
      </c>
      <c r="AV163" s="87"/>
      <c r="AW163" s="87"/>
      <c r="AX163" s="87"/>
      <c r="AY163" s="87"/>
      <c r="AZ163" s="87"/>
      <c r="BA163" s="87"/>
      <c r="BB163" s="87"/>
      <c r="BC163" s="87"/>
      <c r="BD163" s="87"/>
      <c r="BE163" s="87"/>
      <c r="BF163" s="87"/>
      <c r="BG163" s="87"/>
      <c r="BH163" s="87"/>
      <c r="BI163" s="87"/>
      <c r="BJ163" s="87"/>
      <c r="BK163" s="87"/>
      <c r="BL163" s="87"/>
      <c r="BM163" s="87"/>
      <c r="BN163" s="87"/>
      <c r="BO163" s="87"/>
      <c r="BP163" s="87"/>
      <c r="BQ163" s="87"/>
      <c r="BR163" s="87"/>
      <c r="BS163" s="87"/>
    </row>
    <row r="164" spans="1:71" x14ac:dyDescent="0.5">
      <c r="A164" s="87" t="s">
        <v>752</v>
      </c>
      <c r="B164" s="87" t="s">
        <v>107</v>
      </c>
      <c r="C164" s="87" t="s">
        <v>681</v>
      </c>
      <c r="D164" s="87" t="s">
        <v>668</v>
      </c>
      <c r="E164" s="87" t="s">
        <v>109</v>
      </c>
      <c r="F164" s="87" t="s">
        <v>669</v>
      </c>
      <c r="G164" s="87"/>
      <c r="H164" s="87" t="s">
        <v>445</v>
      </c>
      <c r="I164" s="87" t="s">
        <v>683</v>
      </c>
      <c r="J164" s="87" t="s">
        <v>681</v>
      </c>
      <c r="K164" s="87"/>
      <c r="L164" s="87" t="s">
        <v>341</v>
      </c>
      <c r="M164" s="87" t="s">
        <v>754</v>
      </c>
      <c r="N164" s="87" t="s">
        <v>142</v>
      </c>
      <c r="O164" s="87" t="s">
        <v>111</v>
      </c>
      <c r="P164" s="87" t="s">
        <v>686</v>
      </c>
      <c r="Q164" s="87"/>
      <c r="R164" s="87"/>
      <c r="S164" s="87"/>
      <c r="T164" s="87"/>
      <c r="U164" s="87"/>
      <c r="V164" s="87" t="s">
        <v>687</v>
      </c>
      <c r="W164" s="87" t="s">
        <v>688</v>
      </c>
      <c r="X164" s="87" t="s">
        <v>676</v>
      </c>
      <c r="Y164" s="87"/>
      <c r="Z164" s="87"/>
      <c r="AA164" s="87"/>
      <c r="AB164" s="87"/>
      <c r="AC164" s="87"/>
      <c r="AD164" s="87" t="s">
        <v>109</v>
      </c>
      <c r="AE164" s="87" t="s">
        <v>680</v>
      </c>
      <c r="AF164" s="87" t="s">
        <v>755</v>
      </c>
      <c r="AG164" s="87" t="s">
        <v>677</v>
      </c>
      <c r="AH164" s="87" t="s">
        <v>112</v>
      </c>
      <c r="AI164" s="87"/>
      <c r="AJ164" s="87"/>
      <c r="AK164" s="87" t="s">
        <v>448</v>
      </c>
      <c r="AL164" s="87" t="s">
        <v>449</v>
      </c>
      <c r="AM164" s="87" t="s">
        <v>756</v>
      </c>
      <c r="AN164" s="87" t="s">
        <v>109</v>
      </c>
      <c r="AO164" s="87"/>
      <c r="AP164" s="87" t="s">
        <v>350</v>
      </c>
      <c r="AQ164" s="87"/>
      <c r="AR164" s="87"/>
      <c r="AS164" s="87"/>
      <c r="AT164" s="87"/>
      <c r="AU164" s="87" t="s">
        <v>142</v>
      </c>
      <c r="AV164" s="87"/>
      <c r="AW164" s="87"/>
      <c r="AX164" s="87"/>
      <c r="AY164" s="87"/>
      <c r="AZ164" s="87"/>
      <c r="BA164" s="87"/>
      <c r="BB164" s="87"/>
      <c r="BC164" s="87"/>
      <c r="BD164" s="87"/>
      <c r="BE164" s="87"/>
      <c r="BF164" s="87"/>
      <c r="BG164" s="87"/>
      <c r="BH164" s="87"/>
      <c r="BI164" s="87"/>
      <c r="BJ164" s="87"/>
      <c r="BK164" s="87"/>
      <c r="BL164" s="87"/>
      <c r="BM164" s="87"/>
      <c r="BN164" s="87"/>
      <c r="BO164" s="87"/>
      <c r="BP164" s="87"/>
      <c r="BQ164" s="87"/>
      <c r="BR164" s="87"/>
      <c r="BS164" s="87"/>
    </row>
    <row r="165" spans="1:71" x14ac:dyDescent="0.5">
      <c r="A165" s="87" t="s">
        <v>757</v>
      </c>
      <c r="B165" s="87" t="s">
        <v>107</v>
      </c>
      <c r="C165" s="87" t="s">
        <v>97</v>
      </c>
      <c r="D165" s="87" t="s">
        <v>668</v>
      </c>
      <c r="E165" s="87" t="s">
        <v>109</v>
      </c>
      <c r="F165" s="87" t="s">
        <v>669</v>
      </c>
      <c r="G165" s="87"/>
      <c r="H165" s="87" t="s">
        <v>445</v>
      </c>
      <c r="I165" s="87" t="s">
        <v>671</v>
      </c>
      <c r="J165" s="87" t="s">
        <v>97</v>
      </c>
      <c r="K165" s="87"/>
      <c r="L165" s="87" t="s">
        <v>341</v>
      </c>
      <c r="M165" s="87" t="s">
        <v>759</v>
      </c>
      <c r="N165" s="87" t="s">
        <v>142</v>
      </c>
      <c r="O165" s="87" t="s">
        <v>111</v>
      </c>
      <c r="P165" s="87" t="s">
        <v>673</v>
      </c>
      <c r="Q165" s="87"/>
      <c r="R165" s="87"/>
      <c r="S165" s="87"/>
      <c r="T165" s="87"/>
      <c r="U165" s="87"/>
      <c r="V165" s="87" t="s">
        <v>674</v>
      </c>
      <c r="W165" s="87" t="s">
        <v>675</v>
      </c>
      <c r="X165" s="87" t="s">
        <v>676</v>
      </c>
      <c r="Y165" s="87"/>
      <c r="Z165" s="87"/>
      <c r="AA165" s="87"/>
      <c r="AB165" s="87"/>
      <c r="AC165" s="87"/>
      <c r="AD165" s="87" t="s">
        <v>109</v>
      </c>
      <c r="AE165" s="87" t="s">
        <v>667</v>
      </c>
      <c r="AF165" s="87" t="s">
        <v>760</v>
      </c>
      <c r="AG165" s="87" t="s">
        <v>677</v>
      </c>
      <c r="AH165" s="87" t="s">
        <v>112</v>
      </c>
      <c r="AI165" s="87"/>
      <c r="AJ165" s="87"/>
      <c r="AK165" s="87" t="s">
        <v>448</v>
      </c>
      <c r="AL165" s="87" t="s">
        <v>449</v>
      </c>
      <c r="AM165" s="87" t="s">
        <v>761</v>
      </c>
      <c r="AN165" s="87" t="s">
        <v>109</v>
      </c>
      <c r="AO165" s="87"/>
      <c r="AP165" s="87" t="s">
        <v>350</v>
      </c>
      <c r="AQ165" s="87"/>
      <c r="AR165" s="87"/>
      <c r="AS165" s="87"/>
      <c r="AT165" s="87"/>
      <c r="AU165" s="87" t="s">
        <v>142</v>
      </c>
      <c r="AV165" s="87"/>
      <c r="AW165" s="87"/>
      <c r="AX165" s="87"/>
      <c r="AY165" s="87"/>
      <c r="AZ165" s="87"/>
      <c r="BA165" s="87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</row>
    <row r="166" spans="1:71" x14ac:dyDescent="0.5">
      <c r="A166" s="87" t="s">
        <v>762</v>
      </c>
      <c r="B166" s="87" t="s">
        <v>107</v>
      </c>
      <c r="C166" s="87" t="s">
        <v>721</v>
      </c>
      <c r="D166" s="87" t="s">
        <v>668</v>
      </c>
      <c r="E166" s="87" t="s">
        <v>109</v>
      </c>
      <c r="F166" s="87" t="s">
        <v>669</v>
      </c>
      <c r="G166" s="87"/>
      <c r="H166" s="87" t="s">
        <v>115</v>
      </c>
      <c r="I166" s="87" t="s">
        <v>764</v>
      </c>
      <c r="J166" s="87" t="s">
        <v>721</v>
      </c>
      <c r="K166" s="87"/>
      <c r="L166" s="87" t="s">
        <v>341</v>
      </c>
      <c r="M166" s="87" t="s">
        <v>724</v>
      </c>
      <c r="N166" s="87" t="s">
        <v>142</v>
      </c>
      <c r="O166" s="87" t="s">
        <v>111</v>
      </c>
      <c r="P166" s="87" t="s">
        <v>766</v>
      </c>
      <c r="Q166" s="87"/>
      <c r="R166" s="87"/>
      <c r="S166" s="87"/>
      <c r="T166" s="87"/>
      <c r="U166" s="87"/>
      <c r="V166" s="87" t="s">
        <v>726</v>
      </c>
      <c r="W166" s="87" t="s">
        <v>727</v>
      </c>
      <c r="X166" s="87" t="s">
        <v>676</v>
      </c>
      <c r="Y166" s="87"/>
      <c r="Z166" s="87"/>
      <c r="AA166" s="87"/>
      <c r="AB166" s="87"/>
      <c r="AC166" s="87"/>
      <c r="AD166" s="87" t="s">
        <v>109</v>
      </c>
      <c r="AE166" s="87"/>
      <c r="AF166" s="87"/>
      <c r="AG166" s="87" t="s">
        <v>677</v>
      </c>
      <c r="AH166" s="87" t="s">
        <v>112</v>
      </c>
      <c r="AI166" s="87"/>
      <c r="AJ166" s="87"/>
      <c r="AK166" s="87" t="s">
        <v>108</v>
      </c>
      <c r="AL166" s="87" t="s">
        <v>109</v>
      </c>
      <c r="AM166" s="87" t="s">
        <v>767</v>
      </c>
      <c r="AN166" s="87" t="s">
        <v>109</v>
      </c>
      <c r="AO166" s="87"/>
      <c r="AP166" s="87" t="s">
        <v>350</v>
      </c>
      <c r="AQ166" s="87"/>
      <c r="AR166" s="87"/>
      <c r="AS166" s="87"/>
      <c r="AT166" s="87"/>
      <c r="AU166" s="87" t="s">
        <v>142</v>
      </c>
      <c r="AV166" s="87"/>
      <c r="AW166" s="87"/>
      <c r="AX166" s="87" t="s">
        <v>768</v>
      </c>
      <c r="AY166" s="87"/>
      <c r="AZ166" s="87"/>
      <c r="BA166" s="87"/>
      <c r="BB166" s="87"/>
      <c r="BC166" s="87"/>
      <c r="BD166" s="87"/>
      <c r="BE166" s="87"/>
      <c r="BF166" s="87"/>
      <c r="BG166" s="87"/>
      <c r="BH166" s="87"/>
      <c r="BI166" s="87"/>
      <c r="BJ166" s="87"/>
      <c r="BK166" s="87"/>
      <c r="BL166" s="87"/>
      <c r="BM166" s="87"/>
      <c r="BN166" s="87"/>
      <c r="BO166" s="87"/>
      <c r="BP166" s="87"/>
      <c r="BQ166" s="87"/>
      <c r="BR166" s="87"/>
      <c r="BS166" s="87"/>
    </row>
    <row r="167" spans="1:71" x14ac:dyDescent="0.5">
      <c r="A167" s="87" t="s">
        <v>769</v>
      </c>
      <c r="B167" s="87" t="s">
        <v>107</v>
      </c>
      <c r="C167" s="87" t="s">
        <v>714</v>
      </c>
      <c r="D167" s="87" t="s">
        <v>668</v>
      </c>
      <c r="E167" s="87" t="s">
        <v>109</v>
      </c>
      <c r="F167" s="87" t="s">
        <v>669</v>
      </c>
      <c r="G167" s="87"/>
      <c r="H167" s="87" t="s">
        <v>115</v>
      </c>
      <c r="I167" s="87" t="s">
        <v>771</v>
      </c>
      <c r="J167" s="87" t="s">
        <v>714</v>
      </c>
      <c r="K167" s="87"/>
      <c r="L167" s="87" t="s">
        <v>341</v>
      </c>
      <c r="M167" s="87" t="s">
        <v>693</v>
      </c>
      <c r="N167" s="87" t="s">
        <v>142</v>
      </c>
      <c r="O167" s="87" t="s">
        <v>111</v>
      </c>
      <c r="P167" s="87" t="s">
        <v>772</v>
      </c>
      <c r="Q167" s="87"/>
      <c r="R167" s="87"/>
      <c r="S167" s="87"/>
      <c r="T167" s="87"/>
      <c r="U167" s="87"/>
      <c r="V167" s="87" t="s">
        <v>717</v>
      </c>
      <c r="W167" s="87" t="s">
        <v>718</v>
      </c>
      <c r="X167" s="87" t="s">
        <v>676</v>
      </c>
      <c r="Y167" s="87"/>
      <c r="Z167" s="87"/>
      <c r="AA167" s="87"/>
      <c r="AB167" s="87"/>
      <c r="AC167" s="87"/>
      <c r="AD167" s="87" t="s">
        <v>109</v>
      </c>
      <c r="AE167" s="87"/>
      <c r="AF167" s="87"/>
      <c r="AG167" s="87" t="s">
        <v>677</v>
      </c>
      <c r="AH167" s="87" t="s">
        <v>112</v>
      </c>
      <c r="AI167" s="87"/>
      <c r="AJ167" s="87"/>
      <c r="AK167" s="87" t="s">
        <v>108</v>
      </c>
      <c r="AL167" s="87" t="s">
        <v>109</v>
      </c>
      <c r="AM167" s="87" t="s">
        <v>773</v>
      </c>
      <c r="AN167" s="87" t="s">
        <v>109</v>
      </c>
      <c r="AO167" s="87"/>
      <c r="AP167" s="87" t="s">
        <v>350</v>
      </c>
      <c r="AQ167" s="87"/>
      <c r="AR167" s="87"/>
      <c r="AS167" s="87"/>
      <c r="AT167" s="87"/>
      <c r="AU167" s="87" t="s">
        <v>142</v>
      </c>
      <c r="AV167" s="87"/>
      <c r="AW167" s="87"/>
      <c r="AX167" s="87" t="s">
        <v>774</v>
      </c>
      <c r="AY167" s="87"/>
      <c r="AZ167" s="87"/>
      <c r="BA167" s="87"/>
      <c r="BB167" s="87"/>
      <c r="BC167" s="87"/>
      <c r="BD167" s="87"/>
      <c r="BE167" s="87"/>
      <c r="BF167" s="87"/>
      <c r="BG167" s="87"/>
      <c r="BH167" s="87"/>
      <c r="BI167" s="87"/>
      <c r="BJ167" s="87"/>
      <c r="BK167" s="87"/>
      <c r="BL167" s="87"/>
      <c r="BM167" s="87"/>
      <c r="BN167" s="87"/>
      <c r="BO167" s="87"/>
      <c r="BP167" s="87"/>
      <c r="BQ167" s="87"/>
      <c r="BR167" s="87"/>
      <c r="BS167" s="87"/>
    </row>
    <row r="168" spans="1:71" x14ac:dyDescent="0.5">
      <c r="A168" s="87" t="s">
        <v>775</v>
      </c>
      <c r="B168" s="87" t="s">
        <v>107</v>
      </c>
      <c r="C168" s="87" t="s">
        <v>706</v>
      </c>
      <c r="D168" s="87" t="s">
        <v>668</v>
      </c>
      <c r="E168" s="87" t="s">
        <v>109</v>
      </c>
      <c r="F168" s="87" t="s">
        <v>669</v>
      </c>
      <c r="G168" s="87"/>
      <c r="H168" s="87" t="s">
        <v>115</v>
      </c>
      <c r="I168" s="87" t="s">
        <v>771</v>
      </c>
      <c r="J168" s="87" t="s">
        <v>706</v>
      </c>
      <c r="K168" s="87"/>
      <c r="L168" s="87" t="s">
        <v>341</v>
      </c>
      <c r="M168" s="87" t="s">
        <v>144</v>
      </c>
      <c r="N168" s="87" t="s">
        <v>142</v>
      </c>
      <c r="O168" s="87" t="s">
        <v>111</v>
      </c>
      <c r="P168" s="87" t="s">
        <v>777</v>
      </c>
      <c r="Q168" s="87"/>
      <c r="R168" s="87"/>
      <c r="S168" s="87"/>
      <c r="T168" s="87"/>
      <c r="U168" s="87"/>
      <c r="V168" s="87" t="s">
        <v>709</v>
      </c>
      <c r="W168" s="87" t="s">
        <v>710</v>
      </c>
      <c r="X168" s="87" t="s">
        <v>676</v>
      </c>
      <c r="Y168" s="87"/>
      <c r="Z168" s="87"/>
      <c r="AA168" s="87"/>
      <c r="AB168" s="87"/>
      <c r="AC168" s="87"/>
      <c r="AD168" s="87" t="s">
        <v>109</v>
      </c>
      <c r="AE168" s="87"/>
      <c r="AF168" s="87"/>
      <c r="AG168" s="87" t="s">
        <v>677</v>
      </c>
      <c r="AH168" s="87" t="s">
        <v>112</v>
      </c>
      <c r="AI168" s="87"/>
      <c r="AJ168" s="87"/>
      <c r="AK168" s="87" t="s">
        <v>108</v>
      </c>
      <c r="AL168" s="87" t="s">
        <v>109</v>
      </c>
      <c r="AM168" s="87" t="s">
        <v>778</v>
      </c>
      <c r="AN168" s="87" t="s">
        <v>109</v>
      </c>
      <c r="AO168" s="87"/>
      <c r="AP168" s="87" t="s">
        <v>350</v>
      </c>
      <c r="AQ168" s="87"/>
      <c r="AR168" s="87"/>
      <c r="AS168" s="87"/>
      <c r="AT168" s="87"/>
      <c r="AU168" s="87" t="s">
        <v>142</v>
      </c>
      <c r="AV168" s="87"/>
      <c r="AW168" s="87"/>
      <c r="AX168" s="87" t="s">
        <v>774</v>
      </c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</row>
    <row r="169" spans="1:71" x14ac:dyDescent="0.5">
      <c r="A169" s="87" t="s">
        <v>779</v>
      </c>
      <c r="B169" s="87" t="s">
        <v>107</v>
      </c>
      <c r="C169" s="87" t="s">
        <v>699</v>
      </c>
      <c r="D169" s="87" t="s">
        <v>668</v>
      </c>
      <c r="E169" s="87" t="s">
        <v>109</v>
      </c>
      <c r="F169" s="87" t="s">
        <v>669</v>
      </c>
      <c r="G169" s="87"/>
      <c r="H169" s="87" t="s">
        <v>115</v>
      </c>
      <c r="I169" s="87" t="s">
        <v>771</v>
      </c>
      <c r="J169" s="87" t="s">
        <v>699</v>
      </c>
      <c r="K169" s="87"/>
      <c r="L169" s="87" t="s">
        <v>341</v>
      </c>
      <c r="M169" s="87" t="s">
        <v>342</v>
      </c>
      <c r="N169" s="87" t="s">
        <v>142</v>
      </c>
      <c r="O169" s="87" t="s">
        <v>111</v>
      </c>
      <c r="P169" s="87" t="s">
        <v>781</v>
      </c>
      <c r="Q169" s="87"/>
      <c r="R169" s="87"/>
      <c r="S169" s="87"/>
      <c r="T169" s="87"/>
      <c r="U169" s="87"/>
      <c r="V169" s="87" t="s">
        <v>702</v>
      </c>
      <c r="W169" s="87" t="s">
        <v>703</v>
      </c>
      <c r="X169" s="87" t="s">
        <v>676</v>
      </c>
      <c r="Y169" s="87"/>
      <c r="Z169" s="87"/>
      <c r="AA169" s="87"/>
      <c r="AB169" s="87"/>
      <c r="AC169" s="87"/>
      <c r="AD169" s="87" t="s">
        <v>109</v>
      </c>
      <c r="AE169" s="87"/>
      <c r="AF169" s="87"/>
      <c r="AG169" s="87" t="s">
        <v>677</v>
      </c>
      <c r="AH169" s="87" t="s">
        <v>112</v>
      </c>
      <c r="AI169" s="87"/>
      <c r="AJ169" s="87"/>
      <c r="AK169" s="87" t="s">
        <v>108</v>
      </c>
      <c r="AL169" s="87" t="s">
        <v>109</v>
      </c>
      <c r="AM169" s="87" t="s">
        <v>782</v>
      </c>
      <c r="AN169" s="87" t="s">
        <v>109</v>
      </c>
      <c r="AO169" s="87"/>
      <c r="AP169" s="87" t="s">
        <v>350</v>
      </c>
      <c r="AQ169" s="87"/>
      <c r="AR169" s="87"/>
      <c r="AS169" s="87"/>
      <c r="AT169" s="87"/>
      <c r="AU169" s="87" t="s">
        <v>142</v>
      </c>
      <c r="AV169" s="87"/>
      <c r="AW169" s="87"/>
      <c r="AX169" s="87" t="s">
        <v>774</v>
      </c>
      <c r="AY169" s="87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</row>
    <row r="170" spans="1:71" x14ac:dyDescent="0.5">
      <c r="A170" s="87" t="s">
        <v>783</v>
      </c>
      <c r="B170" s="87" t="s">
        <v>107</v>
      </c>
      <c r="C170" s="87" t="s">
        <v>338</v>
      </c>
      <c r="D170" s="87" t="s">
        <v>668</v>
      </c>
      <c r="E170" s="87" t="s">
        <v>109</v>
      </c>
      <c r="F170" s="87" t="s">
        <v>669</v>
      </c>
      <c r="G170" s="87"/>
      <c r="H170" s="87" t="s">
        <v>115</v>
      </c>
      <c r="I170" s="87" t="s">
        <v>771</v>
      </c>
      <c r="J170" s="87" t="s">
        <v>338</v>
      </c>
      <c r="K170" s="87"/>
      <c r="L170" s="87" t="s">
        <v>341</v>
      </c>
      <c r="M170" s="87" t="s">
        <v>693</v>
      </c>
      <c r="N170" s="87" t="s">
        <v>142</v>
      </c>
      <c r="O170" s="87" t="s">
        <v>111</v>
      </c>
      <c r="P170" s="87" t="s">
        <v>785</v>
      </c>
      <c r="Q170" s="87"/>
      <c r="R170" s="87"/>
      <c r="S170" s="87"/>
      <c r="T170" s="87"/>
      <c r="U170" s="87"/>
      <c r="V170" s="87" t="s">
        <v>695</v>
      </c>
      <c r="W170" s="87" t="s">
        <v>696</v>
      </c>
      <c r="X170" s="87" t="s">
        <v>676</v>
      </c>
      <c r="Y170" s="87"/>
      <c r="Z170" s="87"/>
      <c r="AA170" s="87"/>
      <c r="AB170" s="87"/>
      <c r="AC170" s="87"/>
      <c r="AD170" s="87" t="s">
        <v>109</v>
      </c>
      <c r="AE170" s="87"/>
      <c r="AF170" s="87"/>
      <c r="AG170" s="87" t="s">
        <v>677</v>
      </c>
      <c r="AH170" s="87" t="s">
        <v>112</v>
      </c>
      <c r="AI170" s="87"/>
      <c r="AJ170" s="87"/>
      <c r="AK170" s="87" t="s">
        <v>108</v>
      </c>
      <c r="AL170" s="87" t="s">
        <v>109</v>
      </c>
      <c r="AM170" s="87" t="s">
        <v>786</v>
      </c>
      <c r="AN170" s="87" t="s">
        <v>109</v>
      </c>
      <c r="AO170" s="87"/>
      <c r="AP170" s="87" t="s">
        <v>350</v>
      </c>
      <c r="AQ170" s="87"/>
      <c r="AR170" s="87"/>
      <c r="AS170" s="87"/>
      <c r="AT170" s="87"/>
      <c r="AU170" s="87" t="s">
        <v>142</v>
      </c>
      <c r="AV170" s="87"/>
      <c r="AW170" s="87"/>
      <c r="AX170" s="87" t="s">
        <v>774</v>
      </c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87"/>
      <c r="BR170" s="87"/>
      <c r="BS170" s="87"/>
    </row>
    <row r="171" spans="1:71" x14ac:dyDescent="0.5">
      <c r="A171" s="87" t="s">
        <v>787</v>
      </c>
      <c r="B171" s="87" t="s">
        <v>107</v>
      </c>
      <c r="C171" s="87" t="s">
        <v>681</v>
      </c>
      <c r="D171" s="87" t="s">
        <v>668</v>
      </c>
      <c r="E171" s="87" t="s">
        <v>109</v>
      </c>
      <c r="F171" s="87" t="s">
        <v>669</v>
      </c>
      <c r="G171" s="87"/>
      <c r="H171" s="87" t="s">
        <v>115</v>
      </c>
      <c r="I171" s="87" t="s">
        <v>771</v>
      </c>
      <c r="J171" s="87" t="s">
        <v>681</v>
      </c>
      <c r="K171" s="87"/>
      <c r="L171" s="87" t="s">
        <v>341</v>
      </c>
      <c r="M171" s="87" t="s">
        <v>685</v>
      </c>
      <c r="N171" s="87" t="s">
        <v>142</v>
      </c>
      <c r="O171" s="87" t="s">
        <v>111</v>
      </c>
      <c r="P171" s="87" t="s">
        <v>789</v>
      </c>
      <c r="Q171" s="87"/>
      <c r="R171" s="87"/>
      <c r="S171" s="87"/>
      <c r="T171" s="87"/>
      <c r="U171" s="87"/>
      <c r="V171" s="87" t="s">
        <v>687</v>
      </c>
      <c r="W171" s="87" t="s">
        <v>688</v>
      </c>
      <c r="X171" s="87" t="s">
        <v>676</v>
      </c>
      <c r="Y171" s="87"/>
      <c r="Z171" s="87"/>
      <c r="AA171" s="87"/>
      <c r="AB171" s="87"/>
      <c r="AC171" s="87"/>
      <c r="AD171" s="87" t="s">
        <v>109</v>
      </c>
      <c r="AE171" s="87"/>
      <c r="AF171" s="87"/>
      <c r="AG171" s="87" t="s">
        <v>677</v>
      </c>
      <c r="AH171" s="87" t="s">
        <v>112</v>
      </c>
      <c r="AI171" s="87"/>
      <c r="AJ171" s="87"/>
      <c r="AK171" s="87" t="s">
        <v>108</v>
      </c>
      <c r="AL171" s="87" t="s">
        <v>109</v>
      </c>
      <c r="AM171" s="87" t="s">
        <v>790</v>
      </c>
      <c r="AN171" s="87" t="s">
        <v>109</v>
      </c>
      <c r="AO171" s="87"/>
      <c r="AP171" s="87" t="s">
        <v>350</v>
      </c>
      <c r="AQ171" s="87"/>
      <c r="AR171" s="87"/>
      <c r="AS171" s="87"/>
      <c r="AT171" s="87"/>
      <c r="AU171" s="87" t="s">
        <v>142</v>
      </c>
      <c r="AV171" s="87"/>
      <c r="AW171" s="87"/>
      <c r="AX171" s="87" t="s">
        <v>774</v>
      </c>
      <c r="AY171" s="87"/>
      <c r="AZ171" s="87"/>
      <c r="BA171" s="87"/>
      <c r="BB171" s="87"/>
      <c r="BC171" s="87"/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87"/>
      <c r="BR171" s="87"/>
      <c r="BS171" s="87"/>
    </row>
    <row r="172" spans="1:71" x14ac:dyDescent="0.5">
      <c r="A172" s="87" t="s">
        <v>791</v>
      </c>
      <c r="B172" s="87" t="s">
        <v>107</v>
      </c>
      <c r="C172" s="87" t="s">
        <v>97</v>
      </c>
      <c r="D172" s="87" t="s">
        <v>668</v>
      </c>
      <c r="E172" s="87" t="s">
        <v>109</v>
      </c>
      <c r="F172" s="87" t="s">
        <v>669</v>
      </c>
      <c r="G172" s="87"/>
      <c r="H172" s="87" t="s">
        <v>115</v>
      </c>
      <c r="I172" s="87" t="s">
        <v>771</v>
      </c>
      <c r="J172" s="87" t="s">
        <v>97</v>
      </c>
      <c r="K172" s="87"/>
      <c r="L172" s="87" t="s">
        <v>341</v>
      </c>
      <c r="M172" s="87" t="s">
        <v>127</v>
      </c>
      <c r="N172" s="87" t="s">
        <v>142</v>
      </c>
      <c r="O172" s="87" t="s">
        <v>111</v>
      </c>
      <c r="P172" s="87" t="s">
        <v>793</v>
      </c>
      <c r="Q172" s="87"/>
      <c r="R172" s="87"/>
      <c r="S172" s="87"/>
      <c r="T172" s="87"/>
      <c r="U172" s="87"/>
      <c r="V172" s="87" t="s">
        <v>674</v>
      </c>
      <c r="W172" s="87" t="s">
        <v>675</v>
      </c>
      <c r="X172" s="87" t="s">
        <v>676</v>
      </c>
      <c r="Y172" s="87"/>
      <c r="Z172" s="87"/>
      <c r="AA172" s="87"/>
      <c r="AB172" s="87"/>
      <c r="AC172" s="87"/>
      <c r="AD172" s="87" t="s">
        <v>109</v>
      </c>
      <c r="AE172" s="87"/>
      <c r="AF172" s="87"/>
      <c r="AG172" s="87" t="s">
        <v>677</v>
      </c>
      <c r="AH172" s="87" t="s">
        <v>112</v>
      </c>
      <c r="AI172" s="87"/>
      <c r="AJ172" s="87"/>
      <c r="AK172" s="87" t="s">
        <v>108</v>
      </c>
      <c r="AL172" s="87" t="s">
        <v>109</v>
      </c>
      <c r="AM172" s="87" t="s">
        <v>794</v>
      </c>
      <c r="AN172" s="87" t="s">
        <v>109</v>
      </c>
      <c r="AO172" s="87"/>
      <c r="AP172" s="87" t="s">
        <v>350</v>
      </c>
      <c r="AQ172" s="87"/>
      <c r="AR172" s="87"/>
      <c r="AS172" s="87"/>
      <c r="AT172" s="87"/>
      <c r="AU172" s="87" t="s">
        <v>142</v>
      </c>
      <c r="AV172" s="87"/>
      <c r="AW172" s="87"/>
      <c r="AX172" s="87" t="s">
        <v>774</v>
      </c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87"/>
      <c r="BR172" s="87"/>
      <c r="BS172" s="87"/>
    </row>
    <row r="176" spans="1:71" x14ac:dyDescent="0.5">
      <c r="A176" s="87" t="s">
        <v>273</v>
      </c>
      <c r="B176" s="87" t="s">
        <v>166</v>
      </c>
      <c r="C176" s="87" t="s">
        <v>274</v>
      </c>
      <c r="D176" s="87" t="s">
        <v>275</v>
      </c>
      <c r="E176" s="87" t="s">
        <v>276</v>
      </c>
      <c r="F176" s="87" t="s">
        <v>277</v>
      </c>
      <c r="G176" s="87" t="s">
        <v>278</v>
      </c>
      <c r="H176" s="87" t="s">
        <v>279</v>
      </c>
      <c r="I176" s="87" t="s">
        <v>280</v>
      </c>
      <c r="J176" s="87" t="s">
        <v>281</v>
      </c>
      <c r="K176" s="87" t="s">
        <v>282</v>
      </c>
      <c r="L176" s="87" t="s">
        <v>283</v>
      </c>
      <c r="M176" s="87" t="s">
        <v>284</v>
      </c>
      <c r="N176" s="87" t="s">
        <v>285</v>
      </c>
      <c r="O176" s="87" t="s">
        <v>286</v>
      </c>
      <c r="P176" s="87" t="s">
        <v>287</v>
      </c>
      <c r="Q176" s="87" t="s">
        <v>288</v>
      </c>
      <c r="R176" s="87" t="s">
        <v>289</v>
      </c>
      <c r="S176" s="87" t="s">
        <v>290</v>
      </c>
      <c r="T176" s="87" t="s">
        <v>291</v>
      </c>
      <c r="U176" s="87" t="s">
        <v>292</v>
      </c>
      <c r="V176" s="87" t="s">
        <v>293</v>
      </c>
      <c r="W176" s="87" t="s">
        <v>294</v>
      </c>
      <c r="X176" s="87" t="s">
        <v>295</v>
      </c>
      <c r="Y176" s="87" t="s">
        <v>296</v>
      </c>
      <c r="Z176" s="87" t="s">
        <v>297</v>
      </c>
      <c r="AA176" s="87" t="s">
        <v>298</v>
      </c>
      <c r="AB176" s="87" t="s">
        <v>299</v>
      </c>
      <c r="AC176" s="87" t="s">
        <v>300</v>
      </c>
      <c r="AD176" s="87" t="s">
        <v>301</v>
      </c>
      <c r="AE176" s="87" t="s">
        <v>302</v>
      </c>
      <c r="AF176" s="87" t="s">
        <v>303</v>
      </c>
      <c r="AG176" s="87" t="s">
        <v>304</v>
      </c>
      <c r="AH176" s="87" t="s">
        <v>305</v>
      </c>
      <c r="AI176" s="87" t="s">
        <v>306</v>
      </c>
      <c r="AJ176" s="87" t="s">
        <v>307</v>
      </c>
      <c r="AK176" s="87" t="s">
        <v>308</v>
      </c>
      <c r="AL176" s="87" t="s">
        <v>309</v>
      </c>
      <c r="AM176" s="87" t="s">
        <v>310</v>
      </c>
      <c r="AN176" s="87" t="s">
        <v>311</v>
      </c>
      <c r="AO176" s="87" t="s">
        <v>312</v>
      </c>
      <c r="AP176" s="87" t="s">
        <v>313</v>
      </c>
      <c r="AQ176" s="87" t="s">
        <v>314</v>
      </c>
      <c r="AR176" s="87" t="s">
        <v>315</v>
      </c>
      <c r="AS176" s="87" t="s">
        <v>316</v>
      </c>
      <c r="AT176" s="87" t="s">
        <v>317</v>
      </c>
      <c r="AU176" s="87" t="s">
        <v>318</v>
      </c>
      <c r="AV176" s="87" t="s">
        <v>319</v>
      </c>
      <c r="AW176" s="87" t="s">
        <v>320</v>
      </c>
      <c r="AX176" s="87" t="s">
        <v>321</v>
      </c>
      <c r="AY176" s="87" t="s">
        <v>322</v>
      </c>
      <c r="AZ176" s="87" t="s">
        <v>323</v>
      </c>
      <c r="BA176" s="87" t="s">
        <v>324</v>
      </c>
      <c r="BB176" s="87" t="s">
        <v>325</v>
      </c>
      <c r="BC176" s="87" t="s">
        <v>326</v>
      </c>
      <c r="BD176" s="87" t="s">
        <v>327</v>
      </c>
      <c r="BE176" s="87" t="s">
        <v>328</v>
      </c>
      <c r="BF176" s="87" t="s">
        <v>329</v>
      </c>
      <c r="BG176" s="87" t="s">
        <v>330</v>
      </c>
      <c r="BH176" s="87" t="s">
        <v>331</v>
      </c>
      <c r="BI176" s="87" t="s">
        <v>332</v>
      </c>
      <c r="BJ176" s="87" t="s">
        <v>333</v>
      </c>
      <c r="BK176" s="87" t="s">
        <v>334</v>
      </c>
      <c r="BL176" s="87" t="s">
        <v>335</v>
      </c>
      <c r="BM176" s="87" t="s">
        <v>660</v>
      </c>
      <c r="BN176" s="87" t="s">
        <v>661</v>
      </c>
      <c r="BO176" s="87" t="s">
        <v>662</v>
      </c>
      <c r="BP176" s="87" t="s">
        <v>663</v>
      </c>
      <c r="BQ176" s="87" t="s">
        <v>664</v>
      </c>
      <c r="BR176" s="87" t="s">
        <v>665</v>
      </c>
      <c r="BS176" s="87" t="s">
        <v>666</v>
      </c>
    </row>
    <row r="177" spans="1:71" x14ac:dyDescent="0.5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87"/>
      <c r="BR177" s="87"/>
      <c r="BS177" s="87"/>
    </row>
    <row r="178" spans="1:71" x14ac:dyDescent="0.5">
      <c r="A178" s="87" t="s">
        <v>667</v>
      </c>
      <c r="B178" s="87" t="s">
        <v>107</v>
      </c>
      <c r="C178" s="87" t="s">
        <v>97</v>
      </c>
      <c r="D178" s="87" t="s">
        <v>668</v>
      </c>
      <c r="E178" s="87" t="s">
        <v>109</v>
      </c>
      <c r="F178" s="87" t="s">
        <v>669</v>
      </c>
      <c r="G178" s="87" t="s">
        <v>670</v>
      </c>
      <c r="H178" s="87" t="s">
        <v>115</v>
      </c>
      <c r="I178" s="87" t="s">
        <v>671</v>
      </c>
      <c r="J178" s="87" t="s">
        <v>97</v>
      </c>
      <c r="K178" s="87" t="s">
        <v>672</v>
      </c>
      <c r="L178" s="87" t="s">
        <v>341</v>
      </c>
      <c r="M178" s="87" t="s">
        <v>127</v>
      </c>
      <c r="N178" s="87" t="s">
        <v>142</v>
      </c>
      <c r="O178" s="87" t="s">
        <v>111</v>
      </c>
      <c r="P178" s="87" t="s">
        <v>673</v>
      </c>
      <c r="Q178" s="87"/>
      <c r="R178" s="87"/>
      <c r="S178" s="87"/>
      <c r="T178" s="87"/>
      <c r="U178" s="87"/>
      <c r="V178" s="87" t="s">
        <v>674</v>
      </c>
      <c r="W178" s="87" t="s">
        <v>675</v>
      </c>
      <c r="X178" s="87" t="s">
        <v>676</v>
      </c>
      <c r="Y178" s="87"/>
      <c r="Z178" s="87"/>
      <c r="AA178" s="87"/>
      <c r="AB178" s="87"/>
      <c r="AC178" s="87"/>
      <c r="AD178" s="87" t="s">
        <v>109</v>
      </c>
      <c r="AE178" s="87"/>
      <c r="AF178" s="87"/>
      <c r="AG178" s="87" t="s">
        <v>677</v>
      </c>
      <c r="AH178" s="87" t="s">
        <v>112</v>
      </c>
      <c r="AI178" s="87"/>
      <c r="AJ178" s="87"/>
      <c r="AK178" s="87" t="s">
        <v>108</v>
      </c>
      <c r="AL178" s="87" t="s">
        <v>143</v>
      </c>
      <c r="AM178" s="87" t="s">
        <v>678</v>
      </c>
      <c r="AN178" s="87" t="s">
        <v>109</v>
      </c>
      <c r="AO178" s="87"/>
      <c r="AP178" s="87" t="s">
        <v>350</v>
      </c>
      <c r="AQ178" s="87"/>
      <c r="AR178" s="87"/>
      <c r="AS178" s="87"/>
      <c r="AT178" s="87"/>
      <c r="AU178" s="87" t="s">
        <v>142</v>
      </c>
      <c r="AV178" s="87"/>
      <c r="AW178" s="87"/>
      <c r="AX178" s="87" t="s">
        <v>679</v>
      </c>
      <c r="AY178" s="87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87"/>
      <c r="BK178" s="87"/>
      <c r="BL178" s="87"/>
      <c r="BM178" s="87"/>
      <c r="BN178" s="87"/>
      <c r="BO178" s="87"/>
      <c r="BP178" s="87"/>
      <c r="BQ178" s="87"/>
      <c r="BR178" s="87"/>
      <c r="BS178" s="87"/>
    </row>
    <row r="179" spans="1:71" x14ac:dyDescent="0.5">
      <c r="A179" s="87" t="s">
        <v>680</v>
      </c>
      <c r="B179" s="87" t="s">
        <v>107</v>
      </c>
      <c r="C179" s="87" t="s">
        <v>681</v>
      </c>
      <c r="D179" s="87" t="s">
        <v>668</v>
      </c>
      <c r="E179" s="87" t="s">
        <v>109</v>
      </c>
      <c r="F179" s="87" t="s">
        <v>669</v>
      </c>
      <c r="G179" s="87" t="s">
        <v>682</v>
      </c>
      <c r="H179" s="87" t="s">
        <v>115</v>
      </c>
      <c r="I179" s="87" t="s">
        <v>683</v>
      </c>
      <c r="J179" s="87" t="s">
        <v>681</v>
      </c>
      <c r="K179" s="87" t="s">
        <v>684</v>
      </c>
      <c r="L179" s="87" t="s">
        <v>341</v>
      </c>
      <c r="M179" s="87" t="s">
        <v>685</v>
      </c>
      <c r="N179" s="87" t="s">
        <v>142</v>
      </c>
      <c r="O179" s="87" t="s">
        <v>111</v>
      </c>
      <c r="P179" s="87" t="s">
        <v>686</v>
      </c>
      <c r="Q179" s="87"/>
      <c r="R179" s="87"/>
      <c r="S179" s="87"/>
      <c r="T179" s="87"/>
      <c r="U179" s="87"/>
      <c r="V179" s="87" t="s">
        <v>687</v>
      </c>
      <c r="W179" s="87" t="s">
        <v>688</v>
      </c>
      <c r="X179" s="87" t="s">
        <v>676</v>
      </c>
      <c r="Y179" s="87"/>
      <c r="Z179" s="87"/>
      <c r="AA179" s="87"/>
      <c r="AB179" s="87"/>
      <c r="AC179" s="87"/>
      <c r="AD179" s="87" t="s">
        <v>109</v>
      </c>
      <c r="AE179" s="87"/>
      <c r="AF179" s="87"/>
      <c r="AG179" s="87" t="s">
        <v>677</v>
      </c>
      <c r="AH179" s="87" t="s">
        <v>112</v>
      </c>
      <c r="AI179" s="87"/>
      <c r="AJ179" s="87"/>
      <c r="AK179" s="87" t="s">
        <v>108</v>
      </c>
      <c r="AL179" s="87" t="s">
        <v>143</v>
      </c>
      <c r="AM179" s="87" t="s">
        <v>689</v>
      </c>
      <c r="AN179" s="87" t="s">
        <v>109</v>
      </c>
      <c r="AO179" s="87"/>
      <c r="AP179" s="87" t="s">
        <v>350</v>
      </c>
      <c r="AQ179" s="87"/>
      <c r="AR179" s="87"/>
      <c r="AS179" s="87"/>
      <c r="AT179" s="87"/>
      <c r="AU179" s="87" t="s">
        <v>142</v>
      </c>
      <c r="AV179" s="87"/>
      <c r="AW179" s="87"/>
      <c r="AX179" s="87" t="s">
        <v>690</v>
      </c>
      <c r="AY179" s="87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87"/>
      <c r="BR179" s="87"/>
      <c r="BS179" s="87"/>
    </row>
    <row r="180" spans="1:71" x14ac:dyDescent="0.5">
      <c r="A180" s="87" t="s">
        <v>691</v>
      </c>
      <c r="B180" s="87" t="s">
        <v>107</v>
      </c>
      <c r="C180" s="87" t="s">
        <v>338</v>
      </c>
      <c r="D180" s="87" t="s">
        <v>668</v>
      </c>
      <c r="E180" s="87" t="s">
        <v>109</v>
      </c>
      <c r="F180" s="87" t="s">
        <v>669</v>
      </c>
      <c r="G180" s="87" t="s">
        <v>692</v>
      </c>
      <c r="H180" s="87" t="s">
        <v>115</v>
      </c>
      <c r="I180" s="87" t="s">
        <v>683</v>
      </c>
      <c r="J180" s="87" t="s">
        <v>338</v>
      </c>
      <c r="K180" s="87" t="s">
        <v>672</v>
      </c>
      <c r="L180" s="87" t="s">
        <v>341</v>
      </c>
      <c r="M180" s="87" t="s">
        <v>693</v>
      </c>
      <c r="N180" s="87" t="s">
        <v>142</v>
      </c>
      <c r="O180" s="87" t="s">
        <v>111</v>
      </c>
      <c r="P180" s="87" t="s">
        <v>694</v>
      </c>
      <c r="Q180" s="87"/>
      <c r="R180" s="87"/>
      <c r="S180" s="87"/>
      <c r="T180" s="87"/>
      <c r="U180" s="87"/>
      <c r="V180" s="87" t="s">
        <v>695</v>
      </c>
      <c r="W180" s="87" t="s">
        <v>696</v>
      </c>
      <c r="X180" s="87" t="s">
        <v>676</v>
      </c>
      <c r="Y180" s="87"/>
      <c r="Z180" s="87"/>
      <c r="AA180" s="87"/>
      <c r="AB180" s="87"/>
      <c r="AC180" s="87"/>
      <c r="AD180" s="87" t="s">
        <v>109</v>
      </c>
      <c r="AE180" s="87"/>
      <c r="AF180" s="87"/>
      <c r="AG180" s="87" t="s">
        <v>677</v>
      </c>
      <c r="AH180" s="87" t="s">
        <v>112</v>
      </c>
      <c r="AI180" s="87"/>
      <c r="AJ180" s="87"/>
      <c r="AK180" s="87" t="s">
        <v>108</v>
      </c>
      <c r="AL180" s="87" t="s">
        <v>143</v>
      </c>
      <c r="AM180" s="87" t="s">
        <v>697</v>
      </c>
      <c r="AN180" s="87" t="s">
        <v>109</v>
      </c>
      <c r="AO180" s="87"/>
      <c r="AP180" s="87" t="s">
        <v>350</v>
      </c>
      <c r="AQ180" s="87"/>
      <c r="AR180" s="87"/>
      <c r="AS180" s="87"/>
      <c r="AT180" s="87"/>
      <c r="AU180" s="87" t="s">
        <v>142</v>
      </c>
      <c r="AV180" s="87"/>
      <c r="AW180" s="87"/>
      <c r="AX180" s="87" t="s">
        <v>690</v>
      </c>
      <c r="AY180" s="87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87"/>
      <c r="BR180" s="87"/>
      <c r="BS180" s="87"/>
    </row>
    <row r="181" spans="1:71" x14ac:dyDescent="0.5">
      <c r="A181" s="87" t="s">
        <v>698</v>
      </c>
      <c r="B181" s="87" t="s">
        <v>107</v>
      </c>
      <c r="C181" s="87" t="s">
        <v>699</v>
      </c>
      <c r="D181" s="87" t="s">
        <v>668</v>
      </c>
      <c r="E181" s="87" t="s">
        <v>109</v>
      </c>
      <c r="F181" s="87" t="s">
        <v>669</v>
      </c>
      <c r="G181" s="87" t="s">
        <v>700</v>
      </c>
      <c r="H181" s="87" t="s">
        <v>115</v>
      </c>
      <c r="I181" s="87" t="s">
        <v>683</v>
      </c>
      <c r="J181" s="87" t="s">
        <v>699</v>
      </c>
      <c r="K181" s="87" t="s">
        <v>684</v>
      </c>
      <c r="L181" s="87" t="s">
        <v>341</v>
      </c>
      <c r="M181" s="87" t="s">
        <v>342</v>
      </c>
      <c r="N181" s="87" t="s">
        <v>142</v>
      </c>
      <c r="O181" s="87" t="s">
        <v>111</v>
      </c>
      <c r="P181" s="87" t="s">
        <v>701</v>
      </c>
      <c r="Q181" s="87"/>
      <c r="R181" s="87"/>
      <c r="S181" s="87"/>
      <c r="T181" s="87"/>
      <c r="U181" s="87"/>
      <c r="V181" s="87" t="s">
        <v>702</v>
      </c>
      <c r="W181" s="87" t="s">
        <v>703</v>
      </c>
      <c r="X181" s="87" t="s">
        <v>676</v>
      </c>
      <c r="Y181" s="87"/>
      <c r="Z181" s="87"/>
      <c r="AA181" s="87"/>
      <c r="AB181" s="87"/>
      <c r="AC181" s="87"/>
      <c r="AD181" s="87" t="s">
        <v>109</v>
      </c>
      <c r="AE181" s="87"/>
      <c r="AF181" s="87"/>
      <c r="AG181" s="87" t="s">
        <v>677</v>
      </c>
      <c r="AH181" s="87" t="s">
        <v>112</v>
      </c>
      <c r="AI181" s="87"/>
      <c r="AJ181" s="87"/>
      <c r="AK181" s="87" t="s">
        <v>108</v>
      </c>
      <c r="AL181" s="87" t="s">
        <v>143</v>
      </c>
      <c r="AM181" s="87" t="s">
        <v>704</v>
      </c>
      <c r="AN181" s="87" t="s">
        <v>109</v>
      </c>
      <c r="AO181" s="87"/>
      <c r="AP181" s="87" t="s">
        <v>350</v>
      </c>
      <c r="AQ181" s="87"/>
      <c r="AR181" s="87"/>
      <c r="AS181" s="87"/>
      <c r="AT181" s="87"/>
      <c r="AU181" s="87" t="s">
        <v>142</v>
      </c>
      <c r="AV181" s="87"/>
      <c r="AW181" s="87"/>
      <c r="AX181" s="87" t="s">
        <v>690</v>
      </c>
      <c r="AY181" s="87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7"/>
      <c r="BQ181" s="87"/>
      <c r="BR181" s="87"/>
      <c r="BS181" s="87"/>
    </row>
    <row r="182" spans="1:71" x14ac:dyDescent="0.5">
      <c r="A182" s="87" t="s">
        <v>705</v>
      </c>
      <c r="B182" s="87" t="s">
        <v>107</v>
      </c>
      <c r="C182" s="87" t="s">
        <v>706</v>
      </c>
      <c r="D182" s="87" t="s">
        <v>668</v>
      </c>
      <c r="E182" s="87" t="s">
        <v>109</v>
      </c>
      <c r="F182" s="87" t="s">
        <v>669</v>
      </c>
      <c r="G182" s="87" t="s">
        <v>707</v>
      </c>
      <c r="H182" s="87" t="s">
        <v>115</v>
      </c>
      <c r="I182" s="87" t="s">
        <v>683</v>
      </c>
      <c r="J182" s="87" t="s">
        <v>706</v>
      </c>
      <c r="K182" s="87" t="s">
        <v>684</v>
      </c>
      <c r="L182" s="87" t="s">
        <v>341</v>
      </c>
      <c r="M182" s="87" t="s">
        <v>144</v>
      </c>
      <c r="N182" s="87" t="s">
        <v>142</v>
      </c>
      <c r="O182" s="87" t="s">
        <v>111</v>
      </c>
      <c r="P182" s="87" t="s">
        <v>708</v>
      </c>
      <c r="Q182" s="87"/>
      <c r="R182" s="87"/>
      <c r="S182" s="87"/>
      <c r="T182" s="87"/>
      <c r="U182" s="87"/>
      <c r="V182" s="87" t="s">
        <v>709</v>
      </c>
      <c r="W182" s="87" t="s">
        <v>710</v>
      </c>
      <c r="X182" s="87" t="s">
        <v>711</v>
      </c>
      <c r="Y182" s="87"/>
      <c r="Z182" s="87"/>
      <c r="AA182" s="87"/>
      <c r="AB182" s="87"/>
      <c r="AC182" s="87"/>
      <c r="AD182" s="87" t="s">
        <v>109</v>
      </c>
      <c r="AE182" s="87"/>
      <c r="AF182" s="87"/>
      <c r="AG182" s="87" t="s">
        <v>677</v>
      </c>
      <c r="AH182" s="87" t="s">
        <v>112</v>
      </c>
      <c r="AI182" s="87"/>
      <c r="AJ182" s="87"/>
      <c r="AK182" s="87" t="s">
        <v>108</v>
      </c>
      <c r="AL182" s="87" t="s">
        <v>143</v>
      </c>
      <c r="AM182" s="87" t="s">
        <v>712</v>
      </c>
      <c r="AN182" s="87" t="s">
        <v>109</v>
      </c>
      <c r="AO182" s="87"/>
      <c r="AP182" s="87" t="s">
        <v>350</v>
      </c>
      <c r="AQ182" s="87"/>
      <c r="AR182" s="87"/>
      <c r="AS182" s="87"/>
      <c r="AT182" s="87"/>
      <c r="AU182" s="87" t="s">
        <v>142</v>
      </c>
      <c r="AV182" s="87"/>
      <c r="AW182" s="87"/>
      <c r="AX182" s="87" t="s">
        <v>690</v>
      </c>
      <c r="AY182" s="87"/>
      <c r="AZ182" s="87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7"/>
      <c r="BS182" s="87"/>
    </row>
    <row r="183" spans="1:71" x14ac:dyDescent="0.5">
      <c r="A183" s="87" t="s">
        <v>713</v>
      </c>
      <c r="B183" s="87" t="s">
        <v>107</v>
      </c>
      <c r="C183" s="87" t="s">
        <v>714</v>
      </c>
      <c r="D183" s="87" t="s">
        <v>668</v>
      </c>
      <c r="E183" s="87" t="s">
        <v>109</v>
      </c>
      <c r="F183" s="87" t="s">
        <v>669</v>
      </c>
      <c r="G183" s="87" t="s">
        <v>715</v>
      </c>
      <c r="H183" s="87" t="s">
        <v>115</v>
      </c>
      <c r="I183" s="87" t="s">
        <v>683</v>
      </c>
      <c r="J183" s="87" t="s">
        <v>714</v>
      </c>
      <c r="K183" s="87" t="s">
        <v>684</v>
      </c>
      <c r="L183" s="87" t="s">
        <v>341</v>
      </c>
      <c r="M183" s="87" t="s">
        <v>693</v>
      </c>
      <c r="N183" s="87" t="s">
        <v>142</v>
      </c>
      <c r="O183" s="87" t="s">
        <v>111</v>
      </c>
      <c r="P183" s="87" t="s">
        <v>716</v>
      </c>
      <c r="Q183" s="87"/>
      <c r="R183" s="87"/>
      <c r="S183" s="87"/>
      <c r="T183" s="87"/>
      <c r="U183" s="87"/>
      <c r="V183" s="87" t="s">
        <v>717</v>
      </c>
      <c r="W183" s="87" t="s">
        <v>718</v>
      </c>
      <c r="X183" s="87" t="s">
        <v>676</v>
      </c>
      <c r="Y183" s="87"/>
      <c r="Z183" s="87"/>
      <c r="AA183" s="87"/>
      <c r="AB183" s="87"/>
      <c r="AC183" s="87"/>
      <c r="AD183" s="87" t="s">
        <v>109</v>
      </c>
      <c r="AE183" s="87"/>
      <c r="AF183" s="87"/>
      <c r="AG183" s="87" t="s">
        <v>677</v>
      </c>
      <c r="AH183" s="87" t="s">
        <v>112</v>
      </c>
      <c r="AI183" s="87"/>
      <c r="AJ183" s="87"/>
      <c r="AK183" s="87" t="s">
        <v>108</v>
      </c>
      <c r="AL183" s="87" t="s">
        <v>143</v>
      </c>
      <c r="AM183" s="87" t="s">
        <v>719</v>
      </c>
      <c r="AN183" s="87" t="s">
        <v>109</v>
      </c>
      <c r="AO183" s="87"/>
      <c r="AP183" s="87" t="s">
        <v>350</v>
      </c>
      <c r="AQ183" s="87"/>
      <c r="AR183" s="87"/>
      <c r="AS183" s="87"/>
      <c r="AT183" s="87"/>
      <c r="AU183" s="87" t="s">
        <v>142</v>
      </c>
      <c r="AV183" s="87"/>
      <c r="AW183" s="87"/>
      <c r="AX183" s="87" t="s">
        <v>690</v>
      </c>
      <c r="AY183" s="87"/>
      <c r="AZ183" s="87"/>
      <c r="BA183" s="87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87"/>
      <c r="BR183" s="87"/>
      <c r="BS183" s="87"/>
    </row>
    <row r="184" spans="1:71" x14ac:dyDescent="0.5">
      <c r="A184" s="87" t="s">
        <v>720</v>
      </c>
      <c r="B184" s="87" t="s">
        <v>107</v>
      </c>
      <c r="C184" s="87" t="s">
        <v>721</v>
      </c>
      <c r="D184" s="87" t="s">
        <v>668</v>
      </c>
      <c r="E184" s="87" t="s">
        <v>109</v>
      </c>
      <c r="F184" s="87" t="s">
        <v>669</v>
      </c>
      <c r="G184" s="87" t="s">
        <v>722</v>
      </c>
      <c r="H184" s="87" t="s">
        <v>115</v>
      </c>
      <c r="I184" s="87" t="s">
        <v>683</v>
      </c>
      <c r="J184" s="87" t="s">
        <v>721</v>
      </c>
      <c r="K184" s="87" t="s">
        <v>723</v>
      </c>
      <c r="L184" s="87" t="s">
        <v>341</v>
      </c>
      <c r="M184" s="87" t="s">
        <v>724</v>
      </c>
      <c r="N184" s="87" t="s">
        <v>142</v>
      </c>
      <c r="O184" s="87" t="s">
        <v>111</v>
      </c>
      <c r="P184" s="87" t="s">
        <v>725</v>
      </c>
      <c r="Q184" s="87"/>
      <c r="R184" s="87"/>
      <c r="S184" s="87"/>
      <c r="T184" s="87"/>
      <c r="U184" s="87"/>
      <c r="V184" s="87" t="s">
        <v>726</v>
      </c>
      <c r="W184" s="87" t="s">
        <v>727</v>
      </c>
      <c r="X184" s="87" t="s">
        <v>676</v>
      </c>
      <c r="Y184" s="87"/>
      <c r="Z184" s="87"/>
      <c r="AA184" s="87"/>
      <c r="AB184" s="87"/>
      <c r="AC184" s="87"/>
      <c r="AD184" s="87" t="s">
        <v>109</v>
      </c>
      <c r="AE184" s="87"/>
      <c r="AF184" s="87"/>
      <c r="AG184" s="87" t="s">
        <v>677</v>
      </c>
      <c r="AH184" s="87" t="s">
        <v>112</v>
      </c>
      <c r="AI184" s="87"/>
      <c r="AJ184" s="87"/>
      <c r="AK184" s="87" t="s">
        <v>108</v>
      </c>
      <c r="AL184" s="87" t="s">
        <v>143</v>
      </c>
      <c r="AM184" s="87" t="s">
        <v>728</v>
      </c>
      <c r="AN184" s="87" t="s">
        <v>109</v>
      </c>
      <c r="AO184" s="87"/>
      <c r="AP184" s="87" t="s">
        <v>350</v>
      </c>
      <c r="AQ184" s="87"/>
      <c r="AR184" s="87"/>
      <c r="AS184" s="87"/>
      <c r="AT184" s="87"/>
      <c r="AU184" s="87" t="s">
        <v>142</v>
      </c>
      <c r="AV184" s="87"/>
      <c r="AW184" s="87"/>
      <c r="AX184" s="87" t="s">
        <v>690</v>
      </c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87"/>
      <c r="BR184" s="87"/>
      <c r="BS184" s="87"/>
    </row>
    <row r="185" spans="1:71" x14ac:dyDescent="0.5">
      <c r="A185" s="87" t="s">
        <v>729</v>
      </c>
      <c r="B185" s="87" t="s">
        <v>107</v>
      </c>
      <c r="C185" s="87" t="s">
        <v>721</v>
      </c>
      <c r="D185" s="87" t="s">
        <v>668</v>
      </c>
      <c r="E185" s="87" t="s">
        <v>109</v>
      </c>
      <c r="F185" s="87" t="s">
        <v>669</v>
      </c>
      <c r="G185" s="87" t="s">
        <v>730</v>
      </c>
      <c r="H185" s="87" t="s">
        <v>445</v>
      </c>
      <c r="I185" s="87" t="s">
        <v>683</v>
      </c>
      <c r="J185" s="87" t="s">
        <v>721</v>
      </c>
      <c r="K185" s="87" t="s">
        <v>723</v>
      </c>
      <c r="L185" s="87" t="s">
        <v>341</v>
      </c>
      <c r="M185" s="87" t="s">
        <v>731</v>
      </c>
      <c r="N185" s="87" t="s">
        <v>142</v>
      </c>
      <c r="O185" s="87" t="s">
        <v>111</v>
      </c>
      <c r="P185" s="87" t="s">
        <v>725</v>
      </c>
      <c r="Q185" s="87"/>
      <c r="R185" s="87"/>
      <c r="S185" s="87"/>
      <c r="T185" s="87"/>
      <c r="U185" s="87"/>
      <c r="V185" s="87" t="s">
        <v>726</v>
      </c>
      <c r="W185" s="87" t="s">
        <v>727</v>
      </c>
      <c r="X185" s="87" t="s">
        <v>676</v>
      </c>
      <c r="Y185" s="87"/>
      <c r="Z185" s="87"/>
      <c r="AA185" s="87"/>
      <c r="AB185" s="87"/>
      <c r="AC185" s="87"/>
      <c r="AD185" s="87" t="s">
        <v>109</v>
      </c>
      <c r="AE185" s="87" t="s">
        <v>720</v>
      </c>
      <c r="AF185" s="87" t="s">
        <v>732</v>
      </c>
      <c r="AG185" s="87" t="s">
        <v>357</v>
      </c>
      <c r="AH185" s="87" t="s">
        <v>112</v>
      </c>
      <c r="AI185" s="87"/>
      <c r="AJ185" s="87"/>
      <c r="AK185" s="87" t="s">
        <v>448</v>
      </c>
      <c r="AL185" s="87" t="s">
        <v>414</v>
      </c>
      <c r="AM185" s="87" t="s">
        <v>795</v>
      </c>
      <c r="AN185" s="87" t="s">
        <v>109</v>
      </c>
      <c r="AO185" s="87"/>
      <c r="AP185" s="87" t="s">
        <v>350</v>
      </c>
      <c r="AQ185" s="87"/>
      <c r="AR185" s="87"/>
      <c r="AS185" s="87"/>
      <c r="AT185" s="87"/>
      <c r="AU185" s="87" t="s">
        <v>142</v>
      </c>
      <c r="AV185" s="87"/>
      <c r="AW185" s="87"/>
      <c r="AX185" s="87"/>
      <c r="AY185" s="87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 t="s">
        <v>796</v>
      </c>
      <c r="BN185" s="87" t="s">
        <v>797</v>
      </c>
      <c r="BO185" s="87"/>
      <c r="BP185" s="87"/>
      <c r="BQ185" s="87"/>
      <c r="BR185" s="87"/>
      <c r="BS185" s="87"/>
    </row>
    <row r="186" spans="1:71" x14ac:dyDescent="0.5">
      <c r="A186" s="87" t="s">
        <v>734</v>
      </c>
      <c r="B186" s="87" t="s">
        <v>107</v>
      </c>
      <c r="C186" s="87" t="s">
        <v>714</v>
      </c>
      <c r="D186" s="87" t="s">
        <v>668</v>
      </c>
      <c r="E186" s="87" t="s">
        <v>109</v>
      </c>
      <c r="F186" s="87" t="s">
        <v>669</v>
      </c>
      <c r="G186" s="87" t="s">
        <v>735</v>
      </c>
      <c r="H186" s="87" t="s">
        <v>445</v>
      </c>
      <c r="I186" s="87" t="s">
        <v>683</v>
      </c>
      <c r="J186" s="87" t="s">
        <v>714</v>
      </c>
      <c r="K186" s="87" t="s">
        <v>684</v>
      </c>
      <c r="L186" s="87" t="s">
        <v>341</v>
      </c>
      <c r="M186" s="87" t="s">
        <v>736</v>
      </c>
      <c r="N186" s="87" t="s">
        <v>142</v>
      </c>
      <c r="O186" s="87" t="s">
        <v>111</v>
      </c>
      <c r="P186" s="87" t="s">
        <v>716</v>
      </c>
      <c r="Q186" s="87"/>
      <c r="R186" s="87"/>
      <c r="S186" s="87"/>
      <c r="T186" s="87"/>
      <c r="U186" s="87"/>
      <c r="V186" s="87" t="s">
        <v>717</v>
      </c>
      <c r="W186" s="87" t="s">
        <v>718</v>
      </c>
      <c r="X186" s="87" t="s">
        <v>676</v>
      </c>
      <c r="Y186" s="87"/>
      <c r="Z186" s="87"/>
      <c r="AA186" s="87"/>
      <c r="AB186" s="87"/>
      <c r="AC186" s="87"/>
      <c r="AD186" s="87" t="s">
        <v>109</v>
      </c>
      <c r="AE186" s="87" t="s">
        <v>713</v>
      </c>
      <c r="AF186" s="87" t="s">
        <v>737</v>
      </c>
      <c r="AG186" s="87" t="s">
        <v>357</v>
      </c>
      <c r="AH186" s="87" t="s">
        <v>112</v>
      </c>
      <c r="AI186" s="87"/>
      <c r="AJ186" s="87"/>
      <c r="AK186" s="87" t="s">
        <v>448</v>
      </c>
      <c r="AL186" s="87" t="s">
        <v>414</v>
      </c>
      <c r="AM186" s="87" t="s">
        <v>798</v>
      </c>
      <c r="AN186" s="87" t="s">
        <v>109</v>
      </c>
      <c r="AO186" s="87"/>
      <c r="AP186" s="87" t="s">
        <v>350</v>
      </c>
      <c r="AQ186" s="87"/>
      <c r="AR186" s="87"/>
      <c r="AS186" s="87"/>
      <c r="AT186" s="87"/>
      <c r="AU186" s="87" t="s">
        <v>142</v>
      </c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 t="s">
        <v>799</v>
      </c>
      <c r="BN186" s="87" t="s">
        <v>797</v>
      </c>
      <c r="BO186" s="87"/>
      <c r="BP186" s="87"/>
      <c r="BQ186" s="87"/>
      <c r="BR186" s="87"/>
      <c r="BS186" s="87"/>
    </row>
    <row r="187" spans="1:71" x14ac:dyDescent="0.5">
      <c r="A187" s="87" t="s">
        <v>739</v>
      </c>
      <c r="B187" s="87" t="s">
        <v>107</v>
      </c>
      <c r="C187" s="87" t="s">
        <v>706</v>
      </c>
      <c r="D187" s="87" t="s">
        <v>668</v>
      </c>
      <c r="E187" s="87" t="s">
        <v>109</v>
      </c>
      <c r="F187" s="87" t="s">
        <v>669</v>
      </c>
      <c r="G187" s="87" t="s">
        <v>740</v>
      </c>
      <c r="H187" s="87" t="s">
        <v>445</v>
      </c>
      <c r="I187" s="87" t="s">
        <v>683</v>
      </c>
      <c r="J187" s="87" t="s">
        <v>706</v>
      </c>
      <c r="K187" s="87" t="s">
        <v>684</v>
      </c>
      <c r="L187" s="87" t="s">
        <v>341</v>
      </c>
      <c r="M187" s="87" t="s">
        <v>741</v>
      </c>
      <c r="N187" s="87" t="s">
        <v>142</v>
      </c>
      <c r="O187" s="87" t="s">
        <v>111</v>
      </c>
      <c r="P187" s="87" t="s">
        <v>708</v>
      </c>
      <c r="Q187" s="87"/>
      <c r="R187" s="87"/>
      <c r="S187" s="87"/>
      <c r="T187" s="87"/>
      <c r="U187" s="87"/>
      <c r="V187" s="87" t="s">
        <v>709</v>
      </c>
      <c r="W187" s="87" t="s">
        <v>710</v>
      </c>
      <c r="X187" s="87" t="s">
        <v>711</v>
      </c>
      <c r="Y187" s="87"/>
      <c r="Z187" s="87"/>
      <c r="AA187" s="87"/>
      <c r="AB187" s="87"/>
      <c r="AC187" s="87"/>
      <c r="AD187" s="87" t="s">
        <v>109</v>
      </c>
      <c r="AE187" s="87" t="s">
        <v>705</v>
      </c>
      <c r="AF187" s="87" t="s">
        <v>742</v>
      </c>
      <c r="AG187" s="87" t="s">
        <v>357</v>
      </c>
      <c r="AH187" s="87" t="s">
        <v>112</v>
      </c>
      <c r="AI187" s="87"/>
      <c r="AJ187" s="87"/>
      <c r="AK187" s="87" t="s">
        <v>448</v>
      </c>
      <c r="AL187" s="87" t="s">
        <v>414</v>
      </c>
      <c r="AM187" s="87" t="s">
        <v>800</v>
      </c>
      <c r="AN187" s="87" t="s">
        <v>109</v>
      </c>
      <c r="AO187" s="87"/>
      <c r="AP187" s="87" t="s">
        <v>350</v>
      </c>
      <c r="AQ187" s="87"/>
      <c r="AR187" s="87"/>
      <c r="AS187" s="87"/>
      <c r="AT187" s="87"/>
      <c r="AU187" s="87" t="s">
        <v>142</v>
      </c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 t="s">
        <v>801</v>
      </c>
      <c r="BN187" s="87" t="s">
        <v>797</v>
      </c>
      <c r="BO187" s="87"/>
      <c r="BP187" s="87"/>
      <c r="BQ187" s="87"/>
      <c r="BR187" s="87"/>
      <c r="BS187" s="87"/>
    </row>
    <row r="188" spans="1:71" x14ac:dyDescent="0.5">
      <c r="A188" s="87" t="s">
        <v>744</v>
      </c>
      <c r="B188" s="87" t="s">
        <v>107</v>
      </c>
      <c r="C188" s="87" t="s">
        <v>699</v>
      </c>
      <c r="D188" s="87" t="s">
        <v>668</v>
      </c>
      <c r="E188" s="87" t="s">
        <v>109</v>
      </c>
      <c r="F188" s="87" t="s">
        <v>669</v>
      </c>
      <c r="G188" s="87" t="s">
        <v>745</v>
      </c>
      <c r="H188" s="87" t="s">
        <v>445</v>
      </c>
      <c r="I188" s="87" t="s">
        <v>683</v>
      </c>
      <c r="J188" s="87" t="s">
        <v>699</v>
      </c>
      <c r="K188" s="87" t="s">
        <v>684</v>
      </c>
      <c r="L188" s="87" t="s">
        <v>341</v>
      </c>
      <c r="M188" s="87" t="s">
        <v>446</v>
      </c>
      <c r="N188" s="87" t="s">
        <v>142</v>
      </c>
      <c r="O188" s="87" t="s">
        <v>111</v>
      </c>
      <c r="P188" s="87" t="s">
        <v>701</v>
      </c>
      <c r="Q188" s="87"/>
      <c r="R188" s="87"/>
      <c r="S188" s="87"/>
      <c r="T188" s="87"/>
      <c r="U188" s="87"/>
      <c r="V188" s="87" t="s">
        <v>702</v>
      </c>
      <c r="W188" s="87" t="s">
        <v>703</v>
      </c>
      <c r="X188" s="87" t="s">
        <v>676</v>
      </c>
      <c r="Y188" s="87"/>
      <c r="Z188" s="87"/>
      <c r="AA188" s="87"/>
      <c r="AB188" s="87"/>
      <c r="AC188" s="87"/>
      <c r="AD188" s="87" t="s">
        <v>109</v>
      </c>
      <c r="AE188" s="87" t="s">
        <v>698</v>
      </c>
      <c r="AF188" s="87" t="s">
        <v>746</v>
      </c>
      <c r="AG188" s="87" t="s">
        <v>357</v>
      </c>
      <c r="AH188" s="87" t="s">
        <v>112</v>
      </c>
      <c r="AI188" s="87"/>
      <c r="AJ188" s="87"/>
      <c r="AK188" s="87" t="s">
        <v>448</v>
      </c>
      <c r="AL188" s="87" t="s">
        <v>414</v>
      </c>
      <c r="AM188" s="87" t="s">
        <v>802</v>
      </c>
      <c r="AN188" s="87" t="s">
        <v>109</v>
      </c>
      <c r="AO188" s="87"/>
      <c r="AP188" s="87" t="s">
        <v>350</v>
      </c>
      <c r="AQ188" s="87"/>
      <c r="AR188" s="87"/>
      <c r="AS188" s="87"/>
      <c r="AT188" s="87"/>
      <c r="AU188" s="87" t="s">
        <v>142</v>
      </c>
      <c r="AV188" s="87"/>
      <c r="AW188" s="87"/>
      <c r="AX188" s="87"/>
      <c r="AY188" s="87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 t="s">
        <v>803</v>
      </c>
      <c r="BN188" s="87" t="s">
        <v>797</v>
      </c>
      <c r="BO188" s="87"/>
      <c r="BP188" s="87"/>
      <c r="BQ188" s="87"/>
      <c r="BR188" s="87"/>
      <c r="BS188" s="87"/>
    </row>
    <row r="189" spans="1:71" x14ac:dyDescent="0.5">
      <c r="A189" s="87" t="s">
        <v>748</v>
      </c>
      <c r="B189" s="87" t="s">
        <v>107</v>
      </c>
      <c r="C189" s="87" t="s">
        <v>338</v>
      </c>
      <c r="D189" s="87" t="s">
        <v>668</v>
      </c>
      <c r="E189" s="87" t="s">
        <v>109</v>
      </c>
      <c r="F189" s="87" t="s">
        <v>669</v>
      </c>
      <c r="G189" s="87" t="s">
        <v>749</v>
      </c>
      <c r="H189" s="87" t="s">
        <v>445</v>
      </c>
      <c r="I189" s="87" t="s">
        <v>683</v>
      </c>
      <c r="J189" s="87" t="s">
        <v>338</v>
      </c>
      <c r="K189" s="87" t="s">
        <v>672</v>
      </c>
      <c r="L189" s="87" t="s">
        <v>341</v>
      </c>
      <c r="M189" s="87" t="s">
        <v>736</v>
      </c>
      <c r="N189" s="87" t="s">
        <v>142</v>
      </c>
      <c r="O189" s="87" t="s">
        <v>111</v>
      </c>
      <c r="P189" s="87" t="s">
        <v>694</v>
      </c>
      <c r="Q189" s="87"/>
      <c r="R189" s="87"/>
      <c r="S189" s="87"/>
      <c r="T189" s="87"/>
      <c r="U189" s="87"/>
      <c r="V189" s="87" t="s">
        <v>695</v>
      </c>
      <c r="W189" s="87" t="s">
        <v>696</v>
      </c>
      <c r="X189" s="87" t="s">
        <v>676</v>
      </c>
      <c r="Y189" s="87"/>
      <c r="Z189" s="87"/>
      <c r="AA189" s="87"/>
      <c r="AB189" s="87"/>
      <c r="AC189" s="87"/>
      <c r="AD189" s="87" t="s">
        <v>109</v>
      </c>
      <c r="AE189" s="87" t="s">
        <v>691</v>
      </c>
      <c r="AF189" s="87" t="s">
        <v>750</v>
      </c>
      <c r="AG189" s="87" t="s">
        <v>357</v>
      </c>
      <c r="AH189" s="87" t="s">
        <v>112</v>
      </c>
      <c r="AI189" s="87"/>
      <c r="AJ189" s="87"/>
      <c r="AK189" s="87" t="s">
        <v>448</v>
      </c>
      <c r="AL189" s="87" t="s">
        <v>414</v>
      </c>
      <c r="AM189" s="87" t="s">
        <v>804</v>
      </c>
      <c r="AN189" s="87" t="s">
        <v>109</v>
      </c>
      <c r="AO189" s="87"/>
      <c r="AP189" s="87" t="s">
        <v>350</v>
      </c>
      <c r="AQ189" s="87"/>
      <c r="AR189" s="87"/>
      <c r="AS189" s="87"/>
      <c r="AT189" s="87"/>
      <c r="AU189" s="87" t="s">
        <v>142</v>
      </c>
      <c r="AV189" s="87"/>
      <c r="AW189" s="87"/>
      <c r="AX189" s="87"/>
      <c r="AY189" s="87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 t="s">
        <v>799</v>
      </c>
      <c r="BN189" s="87" t="s">
        <v>797</v>
      </c>
      <c r="BO189" s="87"/>
      <c r="BP189" s="87"/>
      <c r="BQ189" s="87"/>
      <c r="BR189" s="87"/>
      <c r="BS189" s="87"/>
    </row>
    <row r="190" spans="1:71" x14ac:dyDescent="0.5">
      <c r="A190" s="87" t="s">
        <v>752</v>
      </c>
      <c r="B190" s="87" t="s">
        <v>107</v>
      </c>
      <c r="C190" s="87" t="s">
        <v>681</v>
      </c>
      <c r="D190" s="87" t="s">
        <v>668</v>
      </c>
      <c r="E190" s="87" t="s">
        <v>109</v>
      </c>
      <c r="F190" s="87" t="s">
        <v>669</v>
      </c>
      <c r="G190" s="87" t="s">
        <v>753</v>
      </c>
      <c r="H190" s="87" t="s">
        <v>445</v>
      </c>
      <c r="I190" s="87" t="s">
        <v>683</v>
      </c>
      <c r="J190" s="87" t="s">
        <v>681</v>
      </c>
      <c r="K190" s="87" t="s">
        <v>684</v>
      </c>
      <c r="L190" s="87" t="s">
        <v>341</v>
      </c>
      <c r="M190" s="87" t="s">
        <v>754</v>
      </c>
      <c r="N190" s="87" t="s">
        <v>142</v>
      </c>
      <c r="O190" s="87" t="s">
        <v>111</v>
      </c>
      <c r="P190" s="87" t="s">
        <v>686</v>
      </c>
      <c r="Q190" s="87"/>
      <c r="R190" s="87"/>
      <c r="S190" s="87"/>
      <c r="T190" s="87"/>
      <c r="U190" s="87"/>
      <c r="V190" s="87" t="s">
        <v>687</v>
      </c>
      <c r="W190" s="87" t="s">
        <v>688</v>
      </c>
      <c r="X190" s="87" t="s">
        <v>676</v>
      </c>
      <c r="Y190" s="87"/>
      <c r="Z190" s="87"/>
      <c r="AA190" s="87"/>
      <c r="AB190" s="87"/>
      <c r="AC190" s="87"/>
      <c r="AD190" s="87" t="s">
        <v>109</v>
      </c>
      <c r="AE190" s="87" t="s">
        <v>680</v>
      </c>
      <c r="AF190" s="87" t="s">
        <v>755</v>
      </c>
      <c r="AG190" s="87" t="s">
        <v>357</v>
      </c>
      <c r="AH190" s="87" t="s">
        <v>112</v>
      </c>
      <c r="AI190" s="87"/>
      <c r="AJ190" s="87"/>
      <c r="AK190" s="87" t="s">
        <v>448</v>
      </c>
      <c r="AL190" s="87" t="s">
        <v>414</v>
      </c>
      <c r="AM190" s="87" t="s">
        <v>805</v>
      </c>
      <c r="AN190" s="87" t="s">
        <v>109</v>
      </c>
      <c r="AO190" s="87"/>
      <c r="AP190" s="87" t="s">
        <v>350</v>
      </c>
      <c r="AQ190" s="87"/>
      <c r="AR190" s="87"/>
      <c r="AS190" s="87"/>
      <c r="AT190" s="87"/>
      <c r="AU190" s="87" t="s">
        <v>142</v>
      </c>
      <c r="AV190" s="87"/>
      <c r="AW190" s="87"/>
      <c r="AX190" s="87"/>
      <c r="AY190" s="87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 t="s">
        <v>806</v>
      </c>
      <c r="BN190" s="87" t="s">
        <v>797</v>
      </c>
      <c r="BO190" s="87"/>
      <c r="BP190" s="87"/>
      <c r="BQ190" s="87"/>
      <c r="BR190" s="87"/>
      <c r="BS190" s="87"/>
    </row>
    <row r="191" spans="1:71" x14ac:dyDescent="0.5">
      <c r="A191" s="87" t="s">
        <v>757</v>
      </c>
      <c r="B191" s="87" t="s">
        <v>107</v>
      </c>
      <c r="C191" s="87" t="s">
        <v>97</v>
      </c>
      <c r="D191" s="87" t="s">
        <v>668</v>
      </c>
      <c r="E191" s="87" t="s">
        <v>109</v>
      </c>
      <c r="F191" s="87" t="s">
        <v>669</v>
      </c>
      <c r="G191" s="87" t="s">
        <v>758</v>
      </c>
      <c r="H191" s="87" t="s">
        <v>445</v>
      </c>
      <c r="I191" s="87" t="s">
        <v>671</v>
      </c>
      <c r="J191" s="87" t="s">
        <v>97</v>
      </c>
      <c r="K191" s="87" t="s">
        <v>672</v>
      </c>
      <c r="L191" s="87" t="s">
        <v>341</v>
      </c>
      <c r="M191" s="87" t="s">
        <v>759</v>
      </c>
      <c r="N191" s="87" t="s">
        <v>142</v>
      </c>
      <c r="O191" s="87" t="s">
        <v>111</v>
      </c>
      <c r="P191" s="87" t="s">
        <v>673</v>
      </c>
      <c r="Q191" s="87"/>
      <c r="R191" s="87"/>
      <c r="S191" s="87"/>
      <c r="T191" s="87"/>
      <c r="U191" s="87"/>
      <c r="V191" s="87" t="s">
        <v>674</v>
      </c>
      <c r="W191" s="87" t="s">
        <v>675</v>
      </c>
      <c r="X191" s="87" t="s">
        <v>676</v>
      </c>
      <c r="Y191" s="87"/>
      <c r="Z191" s="87"/>
      <c r="AA191" s="87"/>
      <c r="AB191" s="87"/>
      <c r="AC191" s="87"/>
      <c r="AD191" s="87" t="s">
        <v>109</v>
      </c>
      <c r="AE191" s="87" t="s">
        <v>667</v>
      </c>
      <c r="AF191" s="87" t="s">
        <v>760</v>
      </c>
      <c r="AG191" s="87" t="s">
        <v>357</v>
      </c>
      <c r="AH191" s="87" t="s">
        <v>112</v>
      </c>
      <c r="AI191" s="87"/>
      <c r="AJ191" s="87"/>
      <c r="AK191" s="87" t="s">
        <v>448</v>
      </c>
      <c r="AL191" s="87" t="s">
        <v>414</v>
      </c>
      <c r="AM191" s="87" t="s">
        <v>807</v>
      </c>
      <c r="AN191" s="87" t="s">
        <v>109</v>
      </c>
      <c r="AO191" s="87"/>
      <c r="AP191" s="87" t="s">
        <v>350</v>
      </c>
      <c r="AQ191" s="87"/>
      <c r="AR191" s="87"/>
      <c r="AS191" s="87"/>
      <c r="AT191" s="87"/>
      <c r="AU191" s="87" t="s">
        <v>142</v>
      </c>
      <c r="AV191" s="87"/>
      <c r="AW191" s="87"/>
      <c r="AX191" s="87"/>
      <c r="AY191" s="87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 t="s">
        <v>808</v>
      </c>
      <c r="BN191" s="87" t="s">
        <v>797</v>
      </c>
      <c r="BO191" s="87"/>
      <c r="BP191" s="87"/>
      <c r="BQ191" s="87"/>
      <c r="BR191" s="87"/>
      <c r="BS191" s="87"/>
    </row>
    <row r="192" spans="1:71" x14ac:dyDescent="0.5">
      <c r="A192" s="87" t="s">
        <v>762</v>
      </c>
      <c r="B192" s="87" t="s">
        <v>107</v>
      </c>
      <c r="C192" s="87" t="s">
        <v>721</v>
      </c>
      <c r="D192" s="87" t="s">
        <v>668</v>
      </c>
      <c r="E192" s="87" t="s">
        <v>109</v>
      </c>
      <c r="F192" s="87" t="s">
        <v>669</v>
      </c>
      <c r="G192" s="87" t="s">
        <v>763</v>
      </c>
      <c r="H192" s="87" t="s">
        <v>115</v>
      </c>
      <c r="I192" s="87" t="s">
        <v>764</v>
      </c>
      <c r="J192" s="87" t="s">
        <v>721</v>
      </c>
      <c r="K192" s="87" t="s">
        <v>765</v>
      </c>
      <c r="L192" s="87" t="s">
        <v>341</v>
      </c>
      <c r="M192" s="87" t="s">
        <v>724</v>
      </c>
      <c r="N192" s="87" t="s">
        <v>142</v>
      </c>
      <c r="O192" s="87" t="s">
        <v>111</v>
      </c>
      <c r="P192" s="87" t="s">
        <v>766</v>
      </c>
      <c r="Q192" s="87"/>
      <c r="R192" s="87"/>
      <c r="S192" s="87"/>
      <c r="T192" s="87"/>
      <c r="U192" s="87"/>
      <c r="V192" s="87" t="s">
        <v>726</v>
      </c>
      <c r="W192" s="87" t="s">
        <v>727</v>
      </c>
      <c r="X192" s="87" t="s">
        <v>676</v>
      </c>
      <c r="Y192" s="87"/>
      <c r="Z192" s="87"/>
      <c r="AA192" s="87"/>
      <c r="AB192" s="87"/>
      <c r="AC192" s="87"/>
      <c r="AD192" s="87" t="s">
        <v>109</v>
      </c>
      <c r="AE192" s="87"/>
      <c r="AF192" s="87"/>
      <c r="AG192" s="87" t="s">
        <v>357</v>
      </c>
      <c r="AH192" s="87" t="s">
        <v>112</v>
      </c>
      <c r="AI192" s="87"/>
      <c r="AJ192" s="87"/>
      <c r="AK192" s="87" t="s">
        <v>108</v>
      </c>
      <c r="AL192" s="87" t="s">
        <v>143</v>
      </c>
      <c r="AM192" s="87" t="s">
        <v>809</v>
      </c>
      <c r="AN192" s="87" t="s">
        <v>109</v>
      </c>
      <c r="AO192" s="87"/>
      <c r="AP192" s="87" t="s">
        <v>350</v>
      </c>
      <c r="AQ192" s="87"/>
      <c r="AR192" s="87"/>
      <c r="AS192" s="87"/>
      <c r="AT192" s="87"/>
      <c r="AU192" s="87" t="s">
        <v>142</v>
      </c>
      <c r="AV192" s="87"/>
      <c r="AW192" s="87"/>
      <c r="AX192" s="87" t="s">
        <v>768</v>
      </c>
      <c r="AY192" s="87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 t="s">
        <v>810</v>
      </c>
      <c r="BN192" s="87" t="s">
        <v>797</v>
      </c>
      <c r="BO192" s="87"/>
      <c r="BP192" s="87"/>
      <c r="BQ192" s="87"/>
      <c r="BR192" s="87"/>
      <c r="BS192" s="87"/>
    </row>
    <row r="193" spans="1:71" x14ac:dyDescent="0.5">
      <c r="A193" s="87" t="s">
        <v>769</v>
      </c>
      <c r="B193" s="87" t="s">
        <v>107</v>
      </c>
      <c r="C193" s="87" t="s">
        <v>714</v>
      </c>
      <c r="D193" s="87" t="s">
        <v>668</v>
      </c>
      <c r="E193" s="87" t="s">
        <v>109</v>
      </c>
      <c r="F193" s="87" t="s">
        <v>669</v>
      </c>
      <c r="G193" s="87" t="s">
        <v>770</v>
      </c>
      <c r="H193" s="87" t="s">
        <v>115</v>
      </c>
      <c r="I193" s="87" t="s">
        <v>771</v>
      </c>
      <c r="J193" s="87" t="s">
        <v>714</v>
      </c>
      <c r="K193" s="87" t="s">
        <v>723</v>
      </c>
      <c r="L193" s="87" t="s">
        <v>341</v>
      </c>
      <c r="M193" s="87" t="s">
        <v>693</v>
      </c>
      <c r="N193" s="87" t="s">
        <v>142</v>
      </c>
      <c r="O193" s="87" t="s">
        <v>111</v>
      </c>
      <c r="P193" s="87" t="s">
        <v>772</v>
      </c>
      <c r="Q193" s="87"/>
      <c r="R193" s="87"/>
      <c r="S193" s="87"/>
      <c r="T193" s="87"/>
      <c r="U193" s="87"/>
      <c r="V193" s="87" t="s">
        <v>717</v>
      </c>
      <c r="W193" s="87" t="s">
        <v>718</v>
      </c>
      <c r="X193" s="87" t="s">
        <v>676</v>
      </c>
      <c r="Y193" s="87"/>
      <c r="Z193" s="87"/>
      <c r="AA193" s="87"/>
      <c r="AB193" s="87"/>
      <c r="AC193" s="87"/>
      <c r="AD193" s="87" t="s">
        <v>109</v>
      </c>
      <c r="AE193" s="87"/>
      <c r="AF193" s="87"/>
      <c r="AG193" s="87" t="s">
        <v>357</v>
      </c>
      <c r="AH193" s="87" t="s">
        <v>112</v>
      </c>
      <c r="AI193" s="87"/>
      <c r="AJ193" s="87"/>
      <c r="AK193" s="87" t="s">
        <v>108</v>
      </c>
      <c r="AL193" s="87" t="s">
        <v>143</v>
      </c>
      <c r="AM193" s="87" t="s">
        <v>811</v>
      </c>
      <c r="AN193" s="87" t="s">
        <v>109</v>
      </c>
      <c r="AO193" s="87"/>
      <c r="AP193" s="87" t="s">
        <v>350</v>
      </c>
      <c r="AQ193" s="87"/>
      <c r="AR193" s="87"/>
      <c r="AS193" s="87"/>
      <c r="AT193" s="87"/>
      <c r="AU193" s="87" t="s">
        <v>142</v>
      </c>
      <c r="AV193" s="87"/>
      <c r="AW193" s="87"/>
      <c r="AX193" s="87" t="s">
        <v>774</v>
      </c>
      <c r="AY193" s="87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 t="s">
        <v>812</v>
      </c>
      <c r="BN193" s="87" t="s">
        <v>797</v>
      </c>
      <c r="BO193" s="87"/>
      <c r="BP193" s="87"/>
      <c r="BQ193" s="87"/>
      <c r="BR193" s="87"/>
      <c r="BS193" s="87"/>
    </row>
    <row r="194" spans="1:71" x14ac:dyDescent="0.5">
      <c r="A194" s="87" t="s">
        <v>775</v>
      </c>
      <c r="B194" s="87" t="s">
        <v>107</v>
      </c>
      <c r="C194" s="87" t="s">
        <v>706</v>
      </c>
      <c r="D194" s="87" t="s">
        <v>668</v>
      </c>
      <c r="E194" s="87" t="s">
        <v>109</v>
      </c>
      <c r="F194" s="87" t="s">
        <v>669</v>
      </c>
      <c r="G194" s="87" t="s">
        <v>776</v>
      </c>
      <c r="H194" s="87" t="s">
        <v>115</v>
      </c>
      <c r="I194" s="87" t="s">
        <v>771</v>
      </c>
      <c r="J194" s="87" t="s">
        <v>706</v>
      </c>
      <c r="K194" s="87" t="s">
        <v>723</v>
      </c>
      <c r="L194" s="87" t="s">
        <v>341</v>
      </c>
      <c r="M194" s="87" t="s">
        <v>144</v>
      </c>
      <c r="N194" s="87" t="s">
        <v>142</v>
      </c>
      <c r="O194" s="87" t="s">
        <v>111</v>
      </c>
      <c r="P194" s="87" t="s">
        <v>777</v>
      </c>
      <c r="Q194" s="87"/>
      <c r="R194" s="87"/>
      <c r="S194" s="87"/>
      <c r="T194" s="87"/>
      <c r="U194" s="87"/>
      <c r="V194" s="87" t="s">
        <v>709</v>
      </c>
      <c r="W194" s="87" t="s">
        <v>710</v>
      </c>
      <c r="X194" s="87" t="s">
        <v>676</v>
      </c>
      <c r="Y194" s="87"/>
      <c r="Z194" s="87"/>
      <c r="AA194" s="87"/>
      <c r="AB194" s="87"/>
      <c r="AC194" s="87"/>
      <c r="AD194" s="87" t="s">
        <v>109</v>
      </c>
      <c r="AE194" s="87"/>
      <c r="AF194" s="87"/>
      <c r="AG194" s="87" t="s">
        <v>357</v>
      </c>
      <c r="AH194" s="87" t="s">
        <v>112</v>
      </c>
      <c r="AI194" s="87"/>
      <c r="AJ194" s="87"/>
      <c r="AK194" s="87" t="s">
        <v>108</v>
      </c>
      <c r="AL194" s="87" t="s">
        <v>143</v>
      </c>
      <c r="AM194" s="87" t="s">
        <v>813</v>
      </c>
      <c r="AN194" s="87" t="s">
        <v>109</v>
      </c>
      <c r="AO194" s="87"/>
      <c r="AP194" s="87" t="s">
        <v>350</v>
      </c>
      <c r="AQ194" s="87"/>
      <c r="AR194" s="87"/>
      <c r="AS194" s="87"/>
      <c r="AT194" s="87"/>
      <c r="AU194" s="87" t="s">
        <v>142</v>
      </c>
      <c r="AV194" s="87"/>
      <c r="AW194" s="87"/>
      <c r="AX194" s="87" t="s">
        <v>774</v>
      </c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 t="s">
        <v>814</v>
      </c>
      <c r="BN194" s="87" t="s">
        <v>797</v>
      </c>
      <c r="BO194" s="87"/>
      <c r="BP194" s="87"/>
      <c r="BQ194" s="87"/>
      <c r="BR194" s="87"/>
      <c r="BS194" s="87"/>
    </row>
    <row r="195" spans="1:71" x14ac:dyDescent="0.5">
      <c r="A195" s="87" t="s">
        <v>779</v>
      </c>
      <c r="B195" s="87" t="s">
        <v>107</v>
      </c>
      <c r="C195" s="87" t="s">
        <v>699</v>
      </c>
      <c r="D195" s="87" t="s">
        <v>668</v>
      </c>
      <c r="E195" s="87" t="s">
        <v>109</v>
      </c>
      <c r="F195" s="87" t="s">
        <v>669</v>
      </c>
      <c r="G195" s="87" t="s">
        <v>780</v>
      </c>
      <c r="H195" s="87" t="s">
        <v>115</v>
      </c>
      <c r="I195" s="87" t="s">
        <v>771</v>
      </c>
      <c r="J195" s="87" t="s">
        <v>699</v>
      </c>
      <c r="K195" s="87" t="s">
        <v>723</v>
      </c>
      <c r="L195" s="87" t="s">
        <v>341</v>
      </c>
      <c r="M195" s="87" t="s">
        <v>342</v>
      </c>
      <c r="N195" s="87" t="s">
        <v>142</v>
      </c>
      <c r="O195" s="87" t="s">
        <v>111</v>
      </c>
      <c r="P195" s="87" t="s">
        <v>781</v>
      </c>
      <c r="Q195" s="87"/>
      <c r="R195" s="87"/>
      <c r="S195" s="87"/>
      <c r="T195" s="87"/>
      <c r="U195" s="87"/>
      <c r="V195" s="87" t="s">
        <v>702</v>
      </c>
      <c r="W195" s="87" t="s">
        <v>703</v>
      </c>
      <c r="X195" s="87" t="s">
        <v>676</v>
      </c>
      <c r="Y195" s="87"/>
      <c r="Z195" s="87"/>
      <c r="AA195" s="87"/>
      <c r="AB195" s="87"/>
      <c r="AC195" s="87"/>
      <c r="AD195" s="87" t="s">
        <v>109</v>
      </c>
      <c r="AE195" s="87"/>
      <c r="AF195" s="87"/>
      <c r="AG195" s="87" t="s">
        <v>357</v>
      </c>
      <c r="AH195" s="87" t="s">
        <v>112</v>
      </c>
      <c r="AI195" s="87"/>
      <c r="AJ195" s="87"/>
      <c r="AK195" s="87" t="s">
        <v>108</v>
      </c>
      <c r="AL195" s="87" t="s">
        <v>143</v>
      </c>
      <c r="AM195" s="87" t="s">
        <v>815</v>
      </c>
      <c r="AN195" s="87" t="s">
        <v>109</v>
      </c>
      <c r="AO195" s="87"/>
      <c r="AP195" s="87" t="s">
        <v>350</v>
      </c>
      <c r="AQ195" s="87"/>
      <c r="AR195" s="87"/>
      <c r="AS195" s="87"/>
      <c r="AT195" s="87"/>
      <c r="AU195" s="87" t="s">
        <v>142</v>
      </c>
      <c r="AV195" s="87"/>
      <c r="AW195" s="87"/>
      <c r="AX195" s="87" t="s">
        <v>774</v>
      </c>
      <c r="AY195" s="87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 t="s">
        <v>816</v>
      </c>
      <c r="BN195" s="87" t="s">
        <v>797</v>
      </c>
      <c r="BO195" s="87"/>
      <c r="BP195" s="87"/>
      <c r="BQ195" s="87"/>
      <c r="BR195" s="87"/>
      <c r="BS195" s="87"/>
    </row>
    <row r="196" spans="1:71" x14ac:dyDescent="0.5">
      <c r="A196" s="87" t="s">
        <v>783</v>
      </c>
      <c r="B196" s="87" t="s">
        <v>107</v>
      </c>
      <c r="C196" s="87" t="s">
        <v>338</v>
      </c>
      <c r="D196" s="87" t="s">
        <v>668</v>
      </c>
      <c r="E196" s="87" t="s">
        <v>109</v>
      </c>
      <c r="F196" s="87" t="s">
        <v>669</v>
      </c>
      <c r="G196" s="87" t="s">
        <v>784</v>
      </c>
      <c r="H196" s="87" t="s">
        <v>115</v>
      </c>
      <c r="I196" s="87" t="s">
        <v>771</v>
      </c>
      <c r="J196" s="87" t="s">
        <v>338</v>
      </c>
      <c r="K196" s="87" t="s">
        <v>684</v>
      </c>
      <c r="L196" s="87" t="s">
        <v>341</v>
      </c>
      <c r="M196" s="87" t="s">
        <v>693</v>
      </c>
      <c r="N196" s="87" t="s">
        <v>142</v>
      </c>
      <c r="O196" s="87" t="s">
        <v>111</v>
      </c>
      <c r="P196" s="87" t="s">
        <v>785</v>
      </c>
      <c r="Q196" s="87"/>
      <c r="R196" s="87"/>
      <c r="S196" s="87"/>
      <c r="T196" s="87"/>
      <c r="U196" s="87"/>
      <c r="V196" s="87" t="s">
        <v>695</v>
      </c>
      <c r="W196" s="87" t="s">
        <v>696</v>
      </c>
      <c r="X196" s="87" t="s">
        <v>676</v>
      </c>
      <c r="Y196" s="87"/>
      <c r="Z196" s="87"/>
      <c r="AA196" s="87"/>
      <c r="AB196" s="87"/>
      <c r="AC196" s="87"/>
      <c r="AD196" s="87" t="s">
        <v>109</v>
      </c>
      <c r="AE196" s="87"/>
      <c r="AF196" s="87"/>
      <c r="AG196" s="87" t="s">
        <v>357</v>
      </c>
      <c r="AH196" s="87" t="s">
        <v>112</v>
      </c>
      <c r="AI196" s="87"/>
      <c r="AJ196" s="87"/>
      <c r="AK196" s="87" t="s">
        <v>108</v>
      </c>
      <c r="AL196" s="87" t="s">
        <v>143</v>
      </c>
      <c r="AM196" s="87" t="s">
        <v>817</v>
      </c>
      <c r="AN196" s="87" t="s">
        <v>109</v>
      </c>
      <c r="AO196" s="87"/>
      <c r="AP196" s="87" t="s">
        <v>350</v>
      </c>
      <c r="AQ196" s="87"/>
      <c r="AR196" s="87"/>
      <c r="AS196" s="87"/>
      <c r="AT196" s="87"/>
      <c r="AU196" s="87" t="s">
        <v>142</v>
      </c>
      <c r="AV196" s="87"/>
      <c r="AW196" s="87"/>
      <c r="AX196" s="87" t="s">
        <v>774</v>
      </c>
      <c r="AY196" s="87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87"/>
      <c r="BK196" s="87"/>
      <c r="BL196" s="87"/>
      <c r="BM196" s="87" t="s">
        <v>812</v>
      </c>
      <c r="BN196" s="87" t="s">
        <v>797</v>
      </c>
      <c r="BO196" s="87"/>
      <c r="BP196" s="87"/>
      <c r="BQ196" s="87"/>
      <c r="BR196" s="87"/>
      <c r="BS196" s="87"/>
    </row>
    <row r="197" spans="1:71" x14ac:dyDescent="0.5">
      <c r="A197" s="87" t="s">
        <v>787</v>
      </c>
      <c r="B197" s="87" t="s">
        <v>107</v>
      </c>
      <c r="C197" s="87" t="s">
        <v>681</v>
      </c>
      <c r="D197" s="87" t="s">
        <v>668</v>
      </c>
      <c r="E197" s="87" t="s">
        <v>109</v>
      </c>
      <c r="F197" s="87" t="s">
        <v>669</v>
      </c>
      <c r="G197" s="87" t="s">
        <v>788</v>
      </c>
      <c r="H197" s="87" t="s">
        <v>115</v>
      </c>
      <c r="I197" s="87" t="s">
        <v>771</v>
      </c>
      <c r="J197" s="87" t="s">
        <v>681</v>
      </c>
      <c r="K197" s="87" t="s">
        <v>723</v>
      </c>
      <c r="L197" s="87" t="s">
        <v>341</v>
      </c>
      <c r="M197" s="87" t="s">
        <v>685</v>
      </c>
      <c r="N197" s="87" t="s">
        <v>142</v>
      </c>
      <c r="O197" s="87" t="s">
        <v>111</v>
      </c>
      <c r="P197" s="87" t="s">
        <v>789</v>
      </c>
      <c r="Q197" s="87"/>
      <c r="R197" s="87"/>
      <c r="S197" s="87"/>
      <c r="T197" s="87"/>
      <c r="U197" s="87"/>
      <c r="V197" s="87" t="s">
        <v>687</v>
      </c>
      <c r="W197" s="87" t="s">
        <v>688</v>
      </c>
      <c r="X197" s="87" t="s">
        <v>676</v>
      </c>
      <c r="Y197" s="87"/>
      <c r="Z197" s="87"/>
      <c r="AA197" s="87"/>
      <c r="AB197" s="87"/>
      <c r="AC197" s="87"/>
      <c r="AD197" s="87" t="s">
        <v>109</v>
      </c>
      <c r="AE197" s="87"/>
      <c r="AF197" s="87"/>
      <c r="AG197" s="87" t="s">
        <v>357</v>
      </c>
      <c r="AH197" s="87" t="s">
        <v>112</v>
      </c>
      <c r="AI197" s="87"/>
      <c r="AJ197" s="87"/>
      <c r="AK197" s="87" t="s">
        <v>108</v>
      </c>
      <c r="AL197" s="87" t="s">
        <v>143</v>
      </c>
      <c r="AM197" s="87" t="s">
        <v>818</v>
      </c>
      <c r="AN197" s="87" t="s">
        <v>109</v>
      </c>
      <c r="AO197" s="87"/>
      <c r="AP197" s="87" t="s">
        <v>350</v>
      </c>
      <c r="AQ197" s="87"/>
      <c r="AR197" s="87"/>
      <c r="AS197" s="87"/>
      <c r="AT197" s="87"/>
      <c r="AU197" s="87" t="s">
        <v>142</v>
      </c>
      <c r="AV197" s="87"/>
      <c r="AW197" s="87"/>
      <c r="AX197" s="87" t="s">
        <v>774</v>
      </c>
      <c r="AY197" s="87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87"/>
      <c r="BK197" s="87"/>
      <c r="BL197" s="87"/>
      <c r="BM197" s="87" t="s">
        <v>819</v>
      </c>
      <c r="BN197" s="87" t="s">
        <v>797</v>
      </c>
      <c r="BO197" s="87"/>
      <c r="BP197" s="87"/>
      <c r="BQ197" s="87"/>
      <c r="BR197" s="87"/>
      <c r="BS197" s="87"/>
    </row>
    <row r="198" spans="1:71" x14ac:dyDescent="0.5">
      <c r="A198" s="87" t="s">
        <v>791</v>
      </c>
      <c r="B198" s="87" t="s">
        <v>107</v>
      </c>
      <c r="C198" s="87" t="s">
        <v>97</v>
      </c>
      <c r="D198" s="87" t="s">
        <v>668</v>
      </c>
      <c r="E198" s="87" t="s">
        <v>109</v>
      </c>
      <c r="F198" s="87" t="s">
        <v>669</v>
      </c>
      <c r="G198" s="87" t="s">
        <v>792</v>
      </c>
      <c r="H198" s="87" t="s">
        <v>115</v>
      </c>
      <c r="I198" s="87" t="s">
        <v>771</v>
      </c>
      <c r="J198" s="87" t="s">
        <v>97</v>
      </c>
      <c r="K198" s="87" t="s">
        <v>684</v>
      </c>
      <c r="L198" s="87" t="s">
        <v>341</v>
      </c>
      <c r="M198" s="87" t="s">
        <v>127</v>
      </c>
      <c r="N198" s="87" t="s">
        <v>142</v>
      </c>
      <c r="O198" s="87" t="s">
        <v>111</v>
      </c>
      <c r="P198" s="87" t="s">
        <v>793</v>
      </c>
      <c r="Q198" s="87"/>
      <c r="R198" s="87"/>
      <c r="S198" s="87"/>
      <c r="T198" s="87"/>
      <c r="U198" s="87"/>
      <c r="V198" s="87" t="s">
        <v>674</v>
      </c>
      <c r="W198" s="87" t="s">
        <v>675</v>
      </c>
      <c r="X198" s="87" t="s">
        <v>676</v>
      </c>
      <c r="Y198" s="87"/>
      <c r="Z198" s="87"/>
      <c r="AA198" s="87"/>
      <c r="AB198" s="87"/>
      <c r="AC198" s="87"/>
      <c r="AD198" s="87" t="s">
        <v>109</v>
      </c>
      <c r="AE198" s="87"/>
      <c r="AF198" s="87"/>
      <c r="AG198" s="87" t="s">
        <v>357</v>
      </c>
      <c r="AH198" s="87" t="s">
        <v>112</v>
      </c>
      <c r="AI198" s="87"/>
      <c r="AJ198" s="87"/>
      <c r="AK198" s="87" t="s">
        <v>108</v>
      </c>
      <c r="AL198" s="87" t="s">
        <v>143</v>
      </c>
      <c r="AM198" s="87" t="s">
        <v>820</v>
      </c>
      <c r="AN198" s="87" t="s">
        <v>109</v>
      </c>
      <c r="AO198" s="87"/>
      <c r="AP198" s="87" t="s">
        <v>350</v>
      </c>
      <c r="AQ198" s="87"/>
      <c r="AR198" s="87"/>
      <c r="AS198" s="87"/>
      <c r="AT198" s="87"/>
      <c r="AU198" s="87" t="s">
        <v>142</v>
      </c>
      <c r="AV198" s="87"/>
      <c r="AW198" s="87"/>
      <c r="AX198" s="87" t="s">
        <v>774</v>
      </c>
      <c r="AY198" s="87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87"/>
      <c r="BK198" s="87"/>
      <c r="BL198" s="87"/>
      <c r="BM198" s="87" t="s">
        <v>821</v>
      </c>
      <c r="BN198" s="87" t="s">
        <v>797</v>
      </c>
      <c r="BO198" s="87"/>
      <c r="BP198" s="87"/>
      <c r="BQ198" s="87"/>
      <c r="BR198" s="87"/>
      <c r="BS198" s="8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5DFC-6E6E-4E9C-87FD-388B20F2BC39}">
  <dimension ref="A2:BL146"/>
  <sheetViews>
    <sheetView topLeftCell="V23" zoomScale="80" zoomScaleNormal="80" workbookViewId="0">
      <selection activeCell="I109" sqref="I109"/>
    </sheetView>
  </sheetViews>
  <sheetFormatPr defaultRowHeight="21.75" x14ac:dyDescent="0.5"/>
  <cols>
    <col min="1" max="4" width="9" style="26"/>
    <col min="5" max="5" width="20.25" style="26" bestFit="1" customWidth="1"/>
    <col min="6" max="11" width="9" style="26"/>
    <col min="12" max="12" width="9.875" style="26" bestFit="1" customWidth="1"/>
    <col min="13" max="13" width="9" style="26"/>
    <col min="14" max="14" width="12.5" style="26" bestFit="1" customWidth="1"/>
    <col min="15" max="15" width="9" style="26"/>
    <col min="16" max="16" width="11.75" style="26" bestFit="1" customWidth="1"/>
    <col min="17" max="17" width="14.5" style="26" bestFit="1" customWidth="1"/>
    <col min="18" max="18" width="9" style="26"/>
    <col min="19" max="19" width="17.75" style="26" bestFit="1" customWidth="1"/>
    <col min="20" max="21" width="9" style="26"/>
    <col min="22" max="22" width="16" style="26" bestFit="1" customWidth="1"/>
    <col min="23" max="23" width="16.875" style="26" bestFit="1" customWidth="1"/>
    <col min="24" max="24" width="17.75" style="26" bestFit="1" customWidth="1"/>
    <col min="25" max="25" width="11.75" style="26" bestFit="1" customWidth="1"/>
    <col min="26" max="38" width="9" style="26"/>
    <col min="39" max="39" width="15.875" style="26" bestFit="1" customWidth="1"/>
    <col min="40" max="63" width="9" style="26"/>
    <col min="64" max="64" width="23" style="26" bestFit="1" customWidth="1"/>
    <col min="65" max="16384" width="9" style="26"/>
  </cols>
  <sheetData>
    <row r="2" spans="1:64" x14ac:dyDescent="0.5">
      <c r="A2" s="25" t="s">
        <v>565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64" x14ac:dyDescent="0.5">
      <c r="A3" s="29"/>
    </row>
    <row r="4" spans="1:64" x14ac:dyDescent="0.5">
      <c r="A4" s="27" t="s">
        <v>271</v>
      </c>
      <c r="B4" s="27"/>
      <c r="C4" s="27"/>
      <c r="D4" s="27"/>
      <c r="E4" s="27"/>
      <c r="F4" s="27"/>
      <c r="G4" s="27"/>
    </row>
    <row r="5" spans="1:64" x14ac:dyDescent="0.5">
      <c r="A5" s="26" t="s">
        <v>528</v>
      </c>
    </row>
    <row r="6" spans="1:64" x14ac:dyDescent="0.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</row>
    <row r="7" spans="1:64" x14ac:dyDescent="0.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</row>
    <row r="8" spans="1:64" x14ac:dyDescent="0.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</row>
    <row r="9" spans="1:64" x14ac:dyDescent="0.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</row>
    <row r="12" spans="1:64" x14ac:dyDescent="0.5">
      <c r="A12" s="27" t="s">
        <v>356</v>
      </c>
      <c r="B12" s="27"/>
      <c r="C12" s="27"/>
      <c r="D12" s="27"/>
      <c r="E12" s="27"/>
      <c r="F12" s="27"/>
      <c r="G12" s="27"/>
    </row>
    <row r="13" spans="1:64" x14ac:dyDescent="0.5">
      <c r="A13" s="26" t="s">
        <v>528</v>
      </c>
    </row>
    <row r="14" spans="1:64" x14ac:dyDescent="0.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x14ac:dyDescent="0.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x14ac:dyDescent="0.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x14ac:dyDescent="0.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20" spans="1:64" x14ac:dyDescent="0.5">
      <c r="A20" s="26" t="s">
        <v>527</v>
      </c>
    </row>
    <row r="21" spans="1:64" x14ac:dyDescent="0.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64" x14ac:dyDescent="0.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64" x14ac:dyDescent="0.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64" x14ac:dyDescent="0.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spans="1:64" x14ac:dyDescent="0.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spans="1:64" x14ac:dyDescent="0.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spans="1:64" x14ac:dyDescent="0.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</row>
    <row r="30" spans="1:64" x14ac:dyDescent="0.5">
      <c r="A30" s="26" t="s">
        <v>392</v>
      </c>
    </row>
    <row r="35" spans="1:64" x14ac:dyDescent="0.5">
      <c r="A35" s="25" t="s">
        <v>564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64" x14ac:dyDescent="0.5">
      <c r="A36" s="26" t="s">
        <v>563</v>
      </c>
    </row>
    <row r="37" spans="1:64" x14ac:dyDescent="0.5">
      <c r="A37" s="27" t="s">
        <v>271</v>
      </c>
      <c r="B37" s="27"/>
      <c r="C37" s="27"/>
      <c r="D37" s="27"/>
      <c r="E37" s="27"/>
      <c r="F37" s="27"/>
      <c r="G37" s="27"/>
    </row>
    <row r="38" spans="1:64" x14ac:dyDescent="0.5">
      <c r="A38" s="26" t="s">
        <v>528</v>
      </c>
    </row>
    <row r="39" spans="1:64" x14ac:dyDescent="0.5">
      <c r="A39" s="28" t="s">
        <v>273</v>
      </c>
      <c r="B39" s="28" t="s">
        <v>166</v>
      </c>
      <c r="C39" s="28" t="s">
        <v>274</v>
      </c>
      <c r="D39" s="28" t="s">
        <v>275</v>
      </c>
      <c r="E39" s="28" t="s">
        <v>276</v>
      </c>
      <c r="F39" s="28" t="s">
        <v>277</v>
      </c>
      <c r="G39" s="28" t="s">
        <v>278</v>
      </c>
      <c r="H39" s="28" t="s">
        <v>279</v>
      </c>
      <c r="I39" s="28" t="s">
        <v>280</v>
      </c>
      <c r="J39" s="28" t="s">
        <v>281</v>
      </c>
      <c r="K39" s="28" t="s">
        <v>282</v>
      </c>
      <c r="L39" s="28" t="s">
        <v>283</v>
      </c>
      <c r="M39" s="28" t="s">
        <v>284</v>
      </c>
      <c r="N39" s="28" t="s">
        <v>285</v>
      </c>
      <c r="O39" s="28" t="s">
        <v>286</v>
      </c>
      <c r="P39" s="28" t="s">
        <v>287</v>
      </c>
      <c r="Q39" s="28" t="s">
        <v>288</v>
      </c>
      <c r="R39" s="28" t="s">
        <v>289</v>
      </c>
      <c r="S39" s="28" t="s">
        <v>290</v>
      </c>
      <c r="T39" s="28" t="s">
        <v>291</v>
      </c>
      <c r="U39" s="28" t="s">
        <v>292</v>
      </c>
      <c r="V39" s="28" t="s">
        <v>293</v>
      </c>
      <c r="W39" s="28" t="s">
        <v>294</v>
      </c>
      <c r="X39" s="28" t="s">
        <v>295</v>
      </c>
      <c r="Y39" s="28" t="s">
        <v>296</v>
      </c>
      <c r="Z39" s="28" t="s">
        <v>297</v>
      </c>
      <c r="AA39" s="28" t="s">
        <v>298</v>
      </c>
      <c r="AB39" s="28" t="s">
        <v>299</v>
      </c>
      <c r="AC39" s="28" t="s">
        <v>300</v>
      </c>
      <c r="AD39" s="28" t="s">
        <v>301</v>
      </c>
      <c r="AE39" s="28" t="s">
        <v>302</v>
      </c>
      <c r="AF39" s="28" t="s">
        <v>303</v>
      </c>
      <c r="AG39" s="28" t="s">
        <v>304</v>
      </c>
      <c r="AH39" s="28" t="s">
        <v>305</v>
      </c>
      <c r="AI39" s="28" t="s">
        <v>306</v>
      </c>
      <c r="AJ39" s="28" t="s">
        <v>307</v>
      </c>
      <c r="AK39" s="28" t="s">
        <v>308</v>
      </c>
      <c r="AL39" s="28" t="s">
        <v>309</v>
      </c>
      <c r="AM39" s="28" t="s">
        <v>310</v>
      </c>
      <c r="AN39" s="28" t="s">
        <v>311</v>
      </c>
      <c r="AO39" s="28" t="s">
        <v>312</v>
      </c>
      <c r="AP39" s="28" t="s">
        <v>313</v>
      </c>
      <c r="AQ39" s="28" t="s">
        <v>314</v>
      </c>
      <c r="AR39" s="28" t="s">
        <v>315</v>
      </c>
      <c r="AS39" s="28" t="s">
        <v>316</v>
      </c>
      <c r="AT39" s="28" t="s">
        <v>317</v>
      </c>
      <c r="AU39" s="28" t="s">
        <v>318</v>
      </c>
      <c r="AV39" s="28" t="s">
        <v>319</v>
      </c>
      <c r="AW39" s="28" t="s">
        <v>320</v>
      </c>
      <c r="AX39" s="28" t="s">
        <v>321</v>
      </c>
      <c r="AY39" s="28" t="s">
        <v>322</v>
      </c>
      <c r="AZ39" s="28" t="s">
        <v>323</v>
      </c>
      <c r="BA39" s="28" t="s">
        <v>324</v>
      </c>
      <c r="BB39" s="28" t="s">
        <v>325</v>
      </c>
      <c r="BC39" s="28" t="s">
        <v>326</v>
      </c>
      <c r="BD39" s="28" t="s">
        <v>327</v>
      </c>
      <c r="BE39" s="28" t="s">
        <v>328</v>
      </c>
      <c r="BF39" s="28" t="s">
        <v>329</v>
      </c>
      <c r="BG39" s="28" t="s">
        <v>330</v>
      </c>
      <c r="BH39" s="28" t="s">
        <v>331</v>
      </c>
      <c r="BI39" s="28" t="s">
        <v>332</v>
      </c>
      <c r="BJ39" s="28" t="s">
        <v>333</v>
      </c>
      <c r="BK39" s="28" t="s">
        <v>334</v>
      </c>
      <c r="BL39" s="28" t="s">
        <v>335</v>
      </c>
    </row>
    <row r="40" spans="1:64" x14ac:dyDescent="0.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x14ac:dyDescent="0.5">
      <c r="A41" s="28" t="s">
        <v>540</v>
      </c>
      <c r="B41" s="28" t="s">
        <v>337</v>
      </c>
      <c r="C41" s="28" t="s">
        <v>338</v>
      </c>
      <c r="D41" s="28" t="s">
        <v>401</v>
      </c>
      <c r="E41" s="28" t="s">
        <v>109</v>
      </c>
      <c r="F41" s="28" t="s">
        <v>402</v>
      </c>
      <c r="G41" s="28" t="s">
        <v>561</v>
      </c>
      <c r="H41" s="28" t="s">
        <v>115</v>
      </c>
      <c r="I41" s="28" t="s">
        <v>552</v>
      </c>
      <c r="J41" s="28" t="s">
        <v>338</v>
      </c>
      <c r="K41" s="28" t="s">
        <v>560</v>
      </c>
      <c r="L41" s="28" t="s">
        <v>341</v>
      </c>
      <c r="M41" s="28" t="s">
        <v>562</v>
      </c>
      <c r="N41" s="28" t="s">
        <v>558</v>
      </c>
      <c r="O41" s="28" t="s">
        <v>405</v>
      </c>
      <c r="P41" s="28" t="s">
        <v>143</v>
      </c>
      <c r="Q41" s="28"/>
      <c r="R41" s="28"/>
      <c r="S41" s="28"/>
      <c r="T41" s="28"/>
      <c r="U41" s="28"/>
      <c r="V41" s="28" t="s">
        <v>344</v>
      </c>
      <c r="W41" s="28" t="s">
        <v>406</v>
      </c>
      <c r="X41" s="28" t="s">
        <v>346</v>
      </c>
      <c r="Y41" s="28" t="s">
        <v>347</v>
      </c>
      <c r="Z41" s="28"/>
      <c r="AA41" s="28"/>
      <c r="AB41" s="28"/>
      <c r="AC41" s="28"/>
      <c r="AD41" s="28" t="s">
        <v>109</v>
      </c>
      <c r="AE41" s="28"/>
      <c r="AF41" s="28"/>
      <c r="AG41" s="28" t="s">
        <v>407</v>
      </c>
      <c r="AH41" s="28" t="s">
        <v>109</v>
      </c>
      <c r="AI41" s="28"/>
      <c r="AJ41" s="28"/>
      <c r="AK41" s="28" t="s">
        <v>108</v>
      </c>
      <c r="AL41" s="28" t="s">
        <v>112</v>
      </c>
      <c r="AM41" s="28" t="s">
        <v>553</v>
      </c>
      <c r="AN41" s="28" t="s">
        <v>349</v>
      </c>
      <c r="AO41" s="28"/>
      <c r="AP41" s="28" t="s">
        <v>350</v>
      </c>
      <c r="AQ41" s="28"/>
      <c r="AR41" s="28"/>
      <c r="AS41" s="28"/>
      <c r="AT41" s="28"/>
      <c r="AU41" s="28" t="s">
        <v>142</v>
      </c>
      <c r="AV41" s="28"/>
      <c r="AW41" s="28"/>
      <c r="AX41" s="28" t="s">
        <v>552</v>
      </c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x14ac:dyDescent="0.5">
      <c r="A42" s="28" t="s">
        <v>545</v>
      </c>
      <c r="B42" s="28" t="s">
        <v>352</v>
      </c>
      <c r="C42" s="28" t="s">
        <v>353</v>
      </c>
      <c r="D42" s="28" t="s">
        <v>401</v>
      </c>
      <c r="E42" s="28" t="s">
        <v>109</v>
      </c>
      <c r="F42" s="28" t="s">
        <v>402</v>
      </c>
      <c r="G42" s="28" t="s">
        <v>556</v>
      </c>
      <c r="H42" s="28" t="s">
        <v>115</v>
      </c>
      <c r="I42" s="28" t="s">
        <v>552</v>
      </c>
      <c r="J42" s="28" t="s">
        <v>352</v>
      </c>
      <c r="K42" s="28" t="s">
        <v>555</v>
      </c>
      <c r="L42" s="28" t="s">
        <v>341</v>
      </c>
      <c r="M42" s="28" t="s">
        <v>412</v>
      </c>
      <c r="N42" s="28" t="s">
        <v>413</v>
      </c>
      <c r="O42" s="28" t="s">
        <v>343</v>
      </c>
      <c r="P42" s="28" t="s">
        <v>554</v>
      </c>
      <c r="Q42" s="28"/>
      <c r="R42" s="28"/>
      <c r="S42" s="28"/>
      <c r="T42" s="28"/>
      <c r="U42" s="28"/>
      <c r="V42" s="28" t="s">
        <v>355</v>
      </c>
      <c r="W42" s="28" t="s">
        <v>338</v>
      </c>
      <c r="X42" s="28" t="s">
        <v>540</v>
      </c>
      <c r="Y42" s="28"/>
      <c r="Z42" s="28"/>
      <c r="AA42" s="28"/>
      <c r="AB42" s="28"/>
      <c r="AC42" s="28"/>
      <c r="AD42" s="28" t="s">
        <v>109</v>
      </c>
      <c r="AE42" s="28"/>
      <c r="AF42" s="28"/>
      <c r="AG42" s="28" t="s">
        <v>407</v>
      </c>
      <c r="AH42" s="28" t="s">
        <v>109</v>
      </c>
      <c r="AI42" s="28"/>
      <c r="AJ42" s="28"/>
      <c r="AK42" s="28" t="s">
        <v>108</v>
      </c>
      <c r="AL42" s="28" t="s">
        <v>143</v>
      </c>
      <c r="AM42" s="28" t="s">
        <v>553</v>
      </c>
      <c r="AN42" s="28" t="s">
        <v>349</v>
      </c>
      <c r="AO42" s="28"/>
      <c r="AP42" s="28" t="s">
        <v>350</v>
      </c>
      <c r="AQ42" s="28"/>
      <c r="AR42" s="28"/>
      <c r="AS42" s="28"/>
      <c r="AT42" s="28"/>
      <c r="AU42" s="28" t="s">
        <v>142</v>
      </c>
      <c r="AV42" s="28"/>
      <c r="AW42" s="28"/>
      <c r="AX42" s="28" t="s">
        <v>552</v>
      </c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5" spans="1:64" x14ac:dyDescent="0.5">
      <c r="A45" s="27" t="s">
        <v>356</v>
      </c>
      <c r="B45" s="27"/>
      <c r="C45" s="27"/>
      <c r="D45" s="27"/>
      <c r="E45" s="27"/>
      <c r="F45" s="27"/>
      <c r="G45" s="27"/>
    </row>
    <row r="46" spans="1:64" x14ac:dyDescent="0.5">
      <c r="A46" s="26" t="s">
        <v>528</v>
      </c>
    </row>
    <row r="47" spans="1:64" x14ac:dyDescent="0.5">
      <c r="A47" s="28" t="s">
        <v>273</v>
      </c>
      <c r="B47" s="28" t="s">
        <v>166</v>
      </c>
      <c r="C47" s="28" t="s">
        <v>274</v>
      </c>
      <c r="D47" s="28" t="s">
        <v>275</v>
      </c>
      <c r="E47" s="28" t="s">
        <v>276</v>
      </c>
      <c r="F47" s="28" t="s">
        <v>277</v>
      </c>
      <c r="G47" s="28" t="s">
        <v>278</v>
      </c>
      <c r="H47" s="28" t="s">
        <v>279</v>
      </c>
      <c r="I47" s="28" t="s">
        <v>280</v>
      </c>
      <c r="J47" s="28" t="s">
        <v>281</v>
      </c>
      <c r="K47" s="28" t="s">
        <v>282</v>
      </c>
      <c r="L47" s="28" t="s">
        <v>283</v>
      </c>
      <c r="M47" s="28" t="s">
        <v>284</v>
      </c>
      <c r="N47" s="28" t="s">
        <v>285</v>
      </c>
      <c r="O47" s="28" t="s">
        <v>286</v>
      </c>
      <c r="P47" s="28" t="s">
        <v>287</v>
      </c>
      <c r="Q47" s="28" t="s">
        <v>288</v>
      </c>
      <c r="R47" s="28" t="s">
        <v>289</v>
      </c>
      <c r="S47" s="28" t="s">
        <v>290</v>
      </c>
      <c r="T47" s="28" t="s">
        <v>291</v>
      </c>
      <c r="U47" s="28" t="s">
        <v>292</v>
      </c>
      <c r="V47" s="28" t="s">
        <v>293</v>
      </c>
      <c r="W47" s="28" t="s">
        <v>294</v>
      </c>
      <c r="X47" s="28" t="s">
        <v>295</v>
      </c>
      <c r="Y47" s="28" t="s">
        <v>296</v>
      </c>
      <c r="Z47" s="28" t="s">
        <v>297</v>
      </c>
      <c r="AA47" s="28" t="s">
        <v>298</v>
      </c>
      <c r="AB47" s="28" t="s">
        <v>299</v>
      </c>
      <c r="AC47" s="28" t="s">
        <v>300</v>
      </c>
      <c r="AD47" s="28" t="s">
        <v>301</v>
      </c>
      <c r="AE47" s="28" t="s">
        <v>302</v>
      </c>
      <c r="AF47" s="28" t="s">
        <v>303</v>
      </c>
      <c r="AG47" s="28" t="s">
        <v>304</v>
      </c>
      <c r="AH47" s="28" t="s">
        <v>305</v>
      </c>
      <c r="AI47" s="28" t="s">
        <v>306</v>
      </c>
      <c r="AJ47" s="28" t="s">
        <v>307</v>
      </c>
      <c r="AK47" s="28" t="s">
        <v>308</v>
      </c>
      <c r="AL47" s="28" t="s">
        <v>309</v>
      </c>
      <c r="AM47" s="28" t="s">
        <v>310</v>
      </c>
      <c r="AN47" s="28" t="s">
        <v>311</v>
      </c>
      <c r="AO47" s="28" t="s">
        <v>312</v>
      </c>
      <c r="AP47" s="28" t="s">
        <v>313</v>
      </c>
      <c r="AQ47" s="28" t="s">
        <v>314</v>
      </c>
      <c r="AR47" s="28" t="s">
        <v>315</v>
      </c>
      <c r="AS47" s="28" t="s">
        <v>316</v>
      </c>
      <c r="AT47" s="28" t="s">
        <v>317</v>
      </c>
      <c r="AU47" s="28" t="s">
        <v>318</v>
      </c>
      <c r="AV47" s="28" t="s">
        <v>319</v>
      </c>
      <c r="AW47" s="28" t="s">
        <v>320</v>
      </c>
      <c r="AX47" s="28" t="s">
        <v>321</v>
      </c>
      <c r="AY47" s="28" t="s">
        <v>322</v>
      </c>
      <c r="AZ47" s="28" t="s">
        <v>323</v>
      </c>
      <c r="BA47" s="28" t="s">
        <v>324</v>
      </c>
      <c r="BB47" s="28" t="s">
        <v>325</v>
      </c>
      <c r="BC47" s="28" t="s">
        <v>326</v>
      </c>
      <c r="BD47" s="28" t="s">
        <v>327</v>
      </c>
      <c r="BE47" s="28" t="s">
        <v>328</v>
      </c>
      <c r="BF47" s="28" t="s">
        <v>329</v>
      </c>
      <c r="BG47" s="28" t="s">
        <v>330</v>
      </c>
      <c r="BH47" s="28" t="s">
        <v>331</v>
      </c>
      <c r="BI47" s="28" t="s">
        <v>332</v>
      </c>
      <c r="BJ47" s="28" t="s">
        <v>333</v>
      </c>
      <c r="BK47" s="28" t="s">
        <v>334</v>
      </c>
      <c r="BL47" s="28" t="s">
        <v>335</v>
      </c>
    </row>
    <row r="48" spans="1:64" x14ac:dyDescent="0.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x14ac:dyDescent="0.5">
      <c r="A49" s="28" t="s">
        <v>540</v>
      </c>
      <c r="B49" s="28" t="s">
        <v>337</v>
      </c>
      <c r="C49" s="28" t="s">
        <v>338</v>
      </c>
      <c r="D49" s="28" t="s">
        <v>401</v>
      </c>
      <c r="E49" s="28" t="s">
        <v>109</v>
      </c>
      <c r="F49" s="28" t="s">
        <v>402</v>
      </c>
      <c r="G49" s="28" t="s">
        <v>561</v>
      </c>
      <c r="H49" s="28" t="s">
        <v>115</v>
      </c>
      <c r="I49" s="28" t="s">
        <v>552</v>
      </c>
      <c r="J49" s="28" t="s">
        <v>338</v>
      </c>
      <c r="K49" s="28" t="s">
        <v>560</v>
      </c>
      <c r="L49" s="28" t="s">
        <v>341</v>
      </c>
      <c r="M49" s="28" t="s">
        <v>559</v>
      </c>
      <c r="N49" s="28" t="s">
        <v>558</v>
      </c>
      <c r="O49" s="28" t="s">
        <v>405</v>
      </c>
      <c r="P49" s="28" t="s">
        <v>143</v>
      </c>
      <c r="Q49" s="28"/>
      <c r="R49" s="28"/>
      <c r="S49" s="28"/>
      <c r="T49" s="28"/>
      <c r="U49" s="28"/>
      <c r="V49" s="28" t="s">
        <v>344</v>
      </c>
      <c r="W49" s="28" t="s">
        <v>406</v>
      </c>
      <c r="X49" s="28" t="s">
        <v>346</v>
      </c>
      <c r="Y49" s="28" t="s">
        <v>347</v>
      </c>
      <c r="Z49" s="28"/>
      <c r="AA49" s="28"/>
      <c r="AB49" s="28"/>
      <c r="AC49" s="28"/>
      <c r="AD49" s="28" t="s">
        <v>109</v>
      </c>
      <c r="AE49" s="28"/>
      <c r="AF49" s="28"/>
      <c r="AG49" s="28" t="s">
        <v>532</v>
      </c>
      <c r="AH49" s="28" t="s">
        <v>109</v>
      </c>
      <c r="AI49" s="28"/>
      <c r="AJ49" s="28"/>
      <c r="AK49" s="28" t="s">
        <v>108</v>
      </c>
      <c r="AL49" s="28" t="s">
        <v>143</v>
      </c>
      <c r="AM49" s="28" t="s">
        <v>557</v>
      </c>
      <c r="AN49" s="28" t="s">
        <v>349</v>
      </c>
      <c r="AO49" s="28"/>
      <c r="AP49" s="28" t="s">
        <v>350</v>
      </c>
      <c r="AQ49" s="28"/>
      <c r="AR49" s="28"/>
      <c r="AS49" s="28"/>
      <c r="AT49" s="28"/>
      <c r="AU49" s="28" t="s">
        <v>142</v>
      </c>
      <c r="AV49" s="28"/>
      <c r="AW49" s="28"/>
      <c r="AX49" s="28" t="s">
        <v>552</v>
      </c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x14ac:dyDescent="0.5">
      <c r="A50" s="28" t="s">
        <v>545</v>
      </c>
      <c r="B50" s="28" t="s">
        <v>352</v>
      </c>
      <c r="C50" s="28" t="s">
        <v>353</v>
      </c>
      <c r="D50" s="28" t="s">
        <v>401</v>
      </c>
      <c r="E50" s="28" t="s">
        <v>109</v>
      </c>
      <c r="F50" s="28" t="s">
        <v>402</v>
      </c>
      <c r="G50" s="28" t="s">
        <v>556</v>
      </c>
      <c r="H50" s="28" t="s">
        <v>115</v>
      </c>
      <c r="I50" s="28" t="s">
        <v>552</v>
      </c>
      <c r="J50" s="28" t="s">
        <v>352</v>
      </c>
      <c r="K50" s="28" t="s">
        <v>555</v>
      </c>
      <c r="L50" s="28" t="s">
        <v>341</v>
      </c>
      <c r="M50" s="28" t="s">
        <v>412</v>
      </c>
      <c r="N50" s="28" t="s">
        <v>413</v>
      </c>
      <c r="O50" s="28" t="s">
        <v>343</v>
      </c>
      <c r="P50" s="28" t="s">
        <v>554</v>
      </c>
      <c r="Q50" s="28"/>
      <c r="R50" s="28"/>
      <c r="S50" s="28"/>
      <c r="T50" s="28"/>
      <c r="U50" s="28"/>
      <c r="V50" s="28" t="s">
        <v>355</v>
      </c>
      <c r="W50" s="28" t="s">
        <v>338</v>
      </c>
      <c r="X50" s="28" t="s">
        <v>540</v>
      </c>
      <c r="Y50" s="28"/>
      <c r="Z50" s="28"/>
      <c r="AA50" s="28"/>
      <c r="AB50" s="28"/>
      <c r="AC50" s="28"/>
      <c r="AD50" s="28" t="s">
        <v>109</v>
      </c>
      <c r="AE50" s="28"/>
      <c r="AF50" s="28"/>
      <c r="AG50" s="28" t="s">
        <v>407</v>
      </c>
      <c r="AH50" s="28" t="s">
        <v>109</v>
      </c>
      <c r="AI50" s="28"/>
      <c r="AJ50" s="28"/>
      <c r="AK50" s="28" t="s">
        <v>108</v>
      </c>
      <c r="AL50" s="28" t="s">
        <v>143</v>
      </c>
      <c r="AM50" s="28" t="s">
        <v>553</v>
      </c>
      <c r="AN50" s="28" t="s">
        <v>349</v>
      </c>
      <c r="AO50" s="28"/>
      <c r="AP50" s="28" t="s">
        <v>350</v>
      </c>
      <c r="AQ50" s="28"/>
      <c r="AR50" s="28"/>
      <c r="AS50" s="28"/>
      <c r="AT50" s="28"/>
      <c r="AU50" s="28" t="s">
        <v>142</v>
      </c>
      <c r="AV50" s="28"/>
      <c r="AW50" s="28"/>
      <c r="AX50" s="28" t="s">
        <v>552</v>
      </c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3" spans="1:64" x14ac:dyDescent="0.5">
      <c r="A53" s="26" t="s">
        <v>527</v>
      </c>
    </row>
    <row r="54" spans="1:64" x14ac:dyDescent="0.5">
      <c r="A54" s="28" t="s">
        <v>3</v>
      </c>
      <c r="B54" s="28" t="s">
        <v>166</v>
      </c>
      <c r="C54" s="28" t="s">
        <v>274</v>
      </c>
      <c r="D54" s="28" t="s">
        <v>273</v>
      </c>
      <c r="E54" s="28" t="s">
        <v>361</v>
      </c>
      <c r="F54" s="28" t="s">
        <v>362</v>
      </c>
      <c r="G54" s="28" t="s">
        <v>363</v>
      </c>
      <c r="H54" s="28" t="s">
        <v>364</v>
      </c>
      <c r="I54" s="28" t="s">
        <v>365</v>
      </c>
      <c r="J54" s="28" t="s">
        <v>366</v>
      </c>
      <c r="K54" s="28" t="s">
        <v>367</v>
      </c>
      <c r="L54" s="28" t="s">
        <v>368</v>
      </c>
      <c r="M54" s="28" t="s">
        <v>309</v>
      </c>
      <c r="N54" s="28" t="s">
        <v>369</v>
      </c>
      <c r="O54" s="28" t="s">
        <v>370</v>
      </c>
      <c r="P54" s="28" t="s">
        <v>371</v>
      </c>
      <c r="Q54" s="28" t="s">
        <v>372</v>
      </c>
      <c r="R54" s="28" t="s">
        <v>373</v>
      </c>
      <c r="S54" s="28" t="s">
        <v>374</v>
      </c>
    </row>
    <row r="55" spans="1:64" x14ac:dyDescent="0.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spans="1:64" x14ac:dyDescent="0.5">
      <c r="A56" s="28" t="s">
        <v>551</v>
      </c>
      <c r="B56" s="28" t="s">
        <v>337</v>
      </c>
      <c r="C56" s="28" t="s">
        <v>376</v>
      </c>
      <c r="D56" s="28" t="s">
        <v>540</v>
      </c>
      <c r="E56" s="28" t="s">
        <v>377</v>
      </c>
      <c r="F56" s="28" t="s">
        <v>378</v>
      </c>
      <c r="G56" s="28" t="s">
        <v>379</v>
      </c>
      <c r="H56" s="28" t="s">
        <v>420</v>
      </c>
      <c r="I56" s="28" t="s">
        <v>538</v>
      </c>
      <c r="J56" s="28" t="s">
        <v>382</v>
      </c>
      <c r="K56" s="28" t="s">
        <v>549</v>
      </c>
      <c r="L56" s="28" t="s">
        <v>407</v>
      </c>
      <c r="M56" s="28" t="s">
        <v>109</v>
      </c>
      <c r="N56" s="28"/>
      <c r="O56" s="28"/>
      <c r="P56" s="28" t="s">
        <v>384</v>
      </c>
      <c r="Q56" s="28" t="s">
        <v>420</v>
      </c>
      <c r="R56" s="28" t="s">
        <v>538</v>
      </c>
      <c r="S56" s="28" t="s">
        <v>548</v>
      </c>
    </row>
    <row r="57" spans="1:64" x14ac:dyDescent="0.5">
      <c r="A57" s="28" t="s">
        <v>550</v>
      </c>
      <c r="B57" s="28" t="s">
        <v>352</v>
      </c>
      <c r="C57" s="28" t="s">
        <v>353</v>
      </c>
      <c r="D57" s="28" t="s">
        <v>545</v>
      </c>
      <c r="E57" s="28" t="s">
        <v>377</v>
      </c>
      <c r="F57" s="28" t="s">
        <v>378</v>
      </c>
      <c r="G57" s="28" t="s">
        <v>379</v>
      </c>
      <c r="H57" s="28" t="s">
        <v>420</v>
      </c>
      <c r="I57" s="28" t="s">
        <v>538</v>
      </c>
      <c r="J57" s="28" t="s">
        <v>382</v>
      </c>
      <c r="K57" s="28" t="s">
        <v>549</v>
      </c>
      <c r="L57" s="28" t="s">
        <v>407</v>
      </c>
      <c r="M57" s="28" t="s">
        <v>109</v>
      </c>
      <c r="N57" s="28"/>
      <c r="O57" s="28"/>
      <c r="P57" s="28" t="s">
        <v>384</v>
      </c>
      <c r="Q57" s="28" t="s">
        <v>420</v>
      </c>
      <c r="R57" s="28" t="s">
        <v>538</v>
      </c>
      <c r="S57" s="28" t="s">
        <v>548</v>
      </c>
    </row>
    <row r="58" spans="1:64" x14ac:dyDescent="0.5">
      <c r="A58" s="28" t="s">
        <v>547</v>
      </c>
      <c r="B58" s="28" t="s">
        <v>337</v>
      </c>
      <c r="C58" s="28" t="s">
        <v>338</v>
      </c>
      <c r="D58" s="28" t="s">
        <v>540</v>
      </c>
      <c r="E58" s="28" t="s">
        <v>426</v>
      </c>
      <c r="F58" s="28" t="s">
        <v>378</v>
      </c>
      <c r="G58" s="28" t="s">
        <v>379</v>
      </c>
      <c r="H58" s="28" t="s">
        <v>420</v>
      </c>
      <c r="I58" s="28" t="s">
        <v>543</v>
      </c>
      <c r="J58" s="28" t="s">
        <v>382</v>
      </c>
      <c r="K58" s="28" t="s">
        <v>544</v>
      </c>
      <c r="L58" s="28" t="s">
        <v>407</v>
      </c>
      <c r="M58" s="28" t="s">
        <v>143</v>
      </c>
      <c r="N58" s="28"/>
      <c r="O58" s="28"/>
      <c r="P58" s="28" t="s">
        <v>384</v>
      </c>
      <c r="Q58" s="28" t="s">
        <v>420</v>
      </c>
      <c r="R58" s="28" t="s">
        <v>543</v>
      </c>
      <c r="S58" s="28" t="s">
        <v>542</v>
      </c>
    </row>
    <row r="59" spans="1:64" x14ac:dyDescent="0.5">
      <c r="A59" s="28" t="s">
        <v>546</v>
      </c>
      <c r="B59" s="28" t="s">
        <v>352</v>
      </c>
      <c r="C59" s="28" t="s">
        <v>353</v>
      </c>
      <c r="D59" s="28" t="s">
        <v>545</v>
      </c>
      <c r="E59" s="28" t="s">
        <v>426</v>
      </c>
      <c r="F59" s="28" t="s">
        <v>378</v>
      </c>
      <c r="G59" s="28" t="s">
        <v>379</v>
      </c>
      <c r="H59" s="28" t="s">
        <v>420</v>
      </c>
      <c r="I59" s="28" t="s">
        <v>543</v>
      </c>
      <c r="J59" s="28" t="s">
        <v>382</v>
      </c>
      <c r="K59" s="28" t="s">
        <v>544</v>
      </c>
      <c r="L59" s="28" t="s">
        <v>407</v>
      </c>
      <c r="M59" s="28" t="s">
        <v>143</v>
      </c>
      <c r="N59" s="28"/>
      <c r="O59" s="28"/>
      <c r="P59" s="28" t="s">
        <v>384</v>
      </c>
      <c r="Q59" s="28" t="s">
        <v>420</v>
      </c>
      <c r="R59" s="28" t="s">
        <v>543</v>
      </c>
      <c r="S59" s="28" t="s">
        <v>542</v>
      </c>
    </row>
    <row r="60" spans="1:64" x14ac:dyDescent="0.5">
      <c r="A60" s="28" t="s">
        <v>541</v>
      </c>
      <c r="B60" s="28" t="s">
        <v>337</v>
      </c>
      <c r="C60" s="28" t="s">
        <v>338</v>
      </c>
      <c r="D60" s="28" t="s">
        <v>540</v>
      </c>
      <c r="E60" s="28" t="s">
        <v>426</v>
      </c>
      <c r="F60" s="28" t="s">
        <v>378</v>
      </c>
      <c r="G60" s="28" t="s">
        <v>379</v>
      </c>
      <c r="H60" s="28" t="s">
        <v>420</v>
      </c>
      <c r="I60" s="28" t="s">
        <v>538</v>
      </c>
      <c r="J60" s="28" t="s">
        <v>382</v>
      </c>
      <c r="K60" s="28" t="s">
        <v>539</v>
      </c>
      <c r="L60" s="28" t="s">
        <v>532</v>
      </c>
      <c r="M60" s="28" t="s">
        <v>143</v>
      </c>
      <c r="N60" s="28"/>
      <c r="O60" s="28"/>
      <c r="P60" s="28" t="s">
        <v>384</v>
      </c>
      <c r="Q60" s="28" t="s">
        <v>420</v>
      </c>
      <c r="R60" s="28" t="s">
        <v>538</v>
      </c>
      <c r="S60" s="28" t="s">
        <v>537</v>
      </c>
    </row>
    <row r="63" spans="1:64" x14ac:dyDescent="0.5">
      <c r="A63" s="26" t="s">
        <v>392</v>
      </c>
    </row>
    <row r="68" spans="1:64" x14ac:dyDescent="0.5">
      <c r="A68" s="25" t="s">
        <v>536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70" spans="1:64" x14ac:dyDescent="0.5">
      <c r="A70" s="27" t="s">
        <v>271</v>
      </c>
      <c r="B70" s="27"/>
      <c r="C70" s="27"/>
      <c r="D70" s="27"/>
      <c r="E70" s="27"/>
      <c r="F70" s="27"/>
      <c r="G70" s="27"/>
    </row>
    <row r="71" spans="1:64" x14ac:dyDescent="0.5">
      <c r="A71" s="26" t="s">
        <v>528</v>
      </c>
    </row>
    <row r="72" spans="1:64" x14ac:dyDescent="0.5">
      <c r="A72" s="28" t="s">
        <v>273</v>
      </c>
      <c r="B72" s="28" t="s">
        <v>166</v>
      </c>
      <c r="C72" s="28" t="s">
        <v>274</v>
      </c>
      <c r="D72" s="28" t="s">
        <v>275</v>
      </c>
      <c r="E72" s="28" t="s">
        <v>276</v>
      </c>
      <c r="F72" s="28" t="s">
        <v>277</v>
      </c>
      <c r="G72" s="28" t="s">
        <v>278</v>
      </c>
      <c r="H72" s="28" t="s">
        <v>279</v>
      </c>
      <c r="I72" s="28" t="s">
        <v>280</v>
      </c>
      <c r="J72" s="28" t="s">
        <v>281</v>
      </c>
      <c r="K72" s="28" t="s">
        <v>282</v>
      </c>
      <c r="L72" s="28" t="s">
        <v>283</v>
      </c>
      <c r="M72" s="28" t="s">
        <v>284</v>
      </c>
      <c r="N72" s="28" t="s">
        <v>285</v>
      </c>
      <c r="O72" s="28" t="s">
        <v>286</v>
      </c>
      <c r="P72" s="28" t="s">
        <v>287</v>
      </c>
      <c r="Q72" s="28" t="s">
        <v>288</v>
      </c>
      <c r="R72" s="28" t="s">
        <v>289</v>
      </c>
      <c r="S72" s="28" t="s">
        <v>290</v>
      </c>
      <c r="T72" s="28" t="s">
        <v>291</v>
      </c>
      <c r="U72" s="28" t="s">
        <v>292</v>
      </c>
      <c r="V72" s="28" t="s">
        <v>293</v>
      </c>
      <c r="W72" s="28" t="s">
        <v>294</v>
      </c>
      <c r="X72" s="28" t="s">
        <v>295</v>
      </c>
      <c r="Y72" s="28" t="s">
        <v>296</v>
      </c>
      <c r="Z72" s="28" t="s">
        <v>297</v>
      </c>
      <c r="AA72" s="28" t="s">
        <v>298</v>
      </c>
      <c r="AB72" s="28" t="s">
        <v>299</v>
      </c>
      <c r="AC72" s="28" t="s">
        <v>300</v>
      </c>
      <c r="AD72" s="28" t="s">
        <v>301</v>
      </c>
      <c r="AE72" s="28" t="s">
        <v>302</v>
      </c>
      <c r="AF72" s="28" t="s">
        <v>303</v>
      </c>
      <c r="AG72" s="28" t="s">
        <v>304</v>
      </c>
      <c r="AH72" s="28" t="s">
        <v>305</v>
      </c>
      <c r="AI72" s="28" t="s">
        <v>306</v>
      </c>
      <c r="AJ72" s="28" t="s">
        <v>307</v>
      </c>
      <c r="AK72" s="28" t="s">
        <v>308</v>
      </c>
      <c r="AL72" s="28" t="s">
        <v>309</v>
      </c>
      <c r="AM72" s="28" t="s">
        <v>310</v>
      </c>
      <c r="AN72" s="28" t="s">
        <v>311</v>
      </c>
      <c r="AO72" s="28" t="s">
        <v>312</v>
      </c>
      <c r="AP72" s="28" t="s">
        <v>313</v>
      </c>
      <c r="AQ72" s="28" t="s">
        <v>314</v>
      </c>
      <c r="AR72" s="28" t="s">
        <v>315</v>
      </c>
      <c r="AS72" s="28" t="s">
        <v>316</v>
      </c>
      <c r="AT72" s="28" t="s">
        <v>317</v>
      </c>
      <c r="AU72" s="28" t="s">
        <v>318</v>
      </c>
      <c r="AV72" s="28" t="s">
        <v>319</v>
      </c>
      <c r="AW72" s="28" t="s">
        <v>320</v>
      </c>
      <c r="AX72" s="28" t="s">
        <v>321</v>
      </c>
      <c r="AY72" s="28" t="s">
        <v>322</v>
      </c>
      <c r="AZ72" s="28" t="s">
        <v>323</v>
      </c>
      <c r="BA72" s="28" t="s">
        <v>324</v>
      </c>
      <c r="BB72" s="28" t="s">
        <v>325</v>
      </c>
      <c r="BC72" s="28" t="s">
        <v>326</v>
      </c>
      <c r="BD72" s="28" t="s">
        <v>327</v>
      </c>
      <c r="BE72" s="28" t="s">
        <v>328</v>
      </c>
      <c r="BF72" s="28" t="s">
        <v>329</v>
      </c>
      <c r="BG72" s="28" t="s">
        <v>330</v>
      </c>
      <c r="BH72" s="28" t="s">
        <v>331</v>
      </c>
      <c r="BI72" s="28" t="s">
        <v>332</v>
      </c>
      <c r="BJ72" s="28" t="s">
        <v>333</v>
      </c>
      <c r="BK72" s="28" t="s">
        <v>334</v>
      </c>
      <c r="BL72" s="28" t="s">
        <v>335</v>
      </c>
    </row>
    <row r="73" spans="1:64" x14ac:dyDescent="0.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x14ac:dyDescent="0.5">
      <c r="A74" s="28" t="s">
        <v>482</v>
      </c>
      <c r="B74" s="28" t="s">
        <v>337</v>
      </c>
      <c r="C74" s="28" t="s">
        <v>338</v>
      </c>
      <c r="D74" s="28" t="s">
        <v>401</v>
      </c>
      <c r="E74" s="28" t="s">
        <v>109</v>
      </c>
      <c r="F74" s="28" t="s">
        <v>402</v>
      </c>
      <c r="G74" s="28" t="s">
        <v>483</v>
      </c>
      <c r="H74" s="28" t="s">
        <v>115</v>
      </c>
      <c r="I74" s="28" t="s">
        <v>484</v>
      </c>
      <c r="J74" s="28" t="s">
        <v>338</v>
      </c>
      <c r="K74" s="28" t="s">
        <v>485</v>
      </c>
      <c r="L74" s="28" t="s">
        <v>341</v>
      </c>
      <c r="M74" s="28" t="s">
        <v>486</v>
      </c>
      <c r="N74" s="28" t="s">
        <v>487</v>
      </c>
      <c r="O74" s="28" t="s">
        <v>405</v>
      </c>
      <c r="P74" s="28" t="s">
        <v>112</v>
      </c>
      <c r="Q74" s="28"/>
      <c r="R74" s="28"/>
      <c r="S74" s="28"/>
      <c r="T74" s="28"/>
      <c r="U74" s="28"/>
      <c r="V74" s="28" t="s">
        <v>344</v>
      </c>
      <c r="W74" s="28" t="s">
        <v>406</v>
      </c>
      <c r="X74" s="28" t="s">
        <v>346</v>
      </c>
      <c r="Y74" s="28" t="s">
        <v>347</v>
      </c>
      <c r="Z74" s="28"/>
      <c r="AA74" s="28"/>
      <c r="AB74" s="28"/>
      <c r="AC74" s="28"/>
      <c r="AD74" s="28" t="s">
        <v>109</v>
      </c>
      <c r="AE74" s="28"/>
      <c r="AF74" s="28"/>
      <c r="AG74" s="28" t="s">
        <v>407</v>
      </c>
      <c r="AH74" s="28" t="s">
        <v>109</v>
      </c>
      <c r="AI74" s="28"/>
      <c r="AJ74" s="28"/>
      <c r="AK74" s="28" t="s">
        <v>108</v>
      </c>
      <c r="AL74" s="28" t="s">
        <v>143</v>
      </c>
      <c r="AM74" s="28" t="s">
        <v>488</v>
      </c>
      <c r="AN74" s="28" t="s">
        <v>349</v>
      </c>
      <c r="AO74" s="28"/>
      <c r="AP74" s="28" t="s">
        <v>350</v>
      </c>
      <c r="AQ74" s="28"/>
      <c r="AR74" s="28"/>
      <c r="AS74" s="28"/>
      <c r="AT74" s="28"/>
      <c r="AU74" s="28" t="s">
        <v>142</v>
      </c>
      <c r="AV74" s="28"/>
      <c r="AW74" s="28"/>
      <c r="AX74" s="28" t="s">
        <v>484</v>
      </c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x14ac:dyDescent="0.5">
      <c r="A75" s="28" t="s">
        <v>489</v>
      </c>
      <c r="B75" s="28" t="s">
        <v>352</v>
      </c>
      <c r="C75" s="28" t="s">
        <v>353</v>
      </c>
      <c r="D75" s="28" t="s">
        <v>401</v>
      </c>
      <c r="E75" s="28" t="s">
        <v>109</v>
      </c>
      <c r="F75" s="28" t="s">
        <v>402</v>
      </c>
      <c r="G75" s="28" t="s">
        <v>490</v>
      </c>
      <c r="H75" s="28" t="s">
        <v>115</v>
      </c>
      <c r="I75" s="28" t="s">
        <v>484</v>
      </c>
      <c r="J75" s="28" t="s">
        <v>352</v>
      </c>
      <c r="K75" s="28" t="s">
        <v>491</v>
      </c>
      <c r="L75" s="28" t="s">
        <v>341</v>
      </c>
      <c r="M75" s="28" t="s">
        <v>412</v>
      </c>
      <c r="N75" s="28" t="s">
        <v>413</v>
      </c>
      <c r="O75" s="28" t="s">
        <v>343</v>
      </c>
      <c r="P75" s="28" t="s">
        <v>124</v>
      </c>
      <c r="Q75" s="28"/>
      <c r="R75" s="28"/>
      <c r="S75" s="28"/>
      <c r="T75" s="28"/>
      <c r="U75" s="28"/>
      <c r="V75" s="28" t="s">
        <v>355</v>
      </c>
      <c r="W75" s="28" t="s">
        <v>338</v>
      </c>
      <c r="X75" s="28" t="s">
        <v>482</v>
      </c>
      <c r="Y75" s="28"/>
      <c r="Z75" s="28"/>
      <c r="AA75" s="28"/>
      <c r="AB75" s="28"/>
      <c r="AC75" s="28"/>
      <c r="AD75" s="28" t="s">
        <v>109</v>
      </c>
      <c r="AE75" s="28"/>
      <c r="AF75" s="28"/>
      <c r="AG75" s="28" t="s">
        <v>407</v>
      </c>
      <c r="AH75" s="28" t="s">
        <v>109</v>
      </c>
      <c r="AI75" s="28"/>
      <c r="AJ75" s="28"/>
      <c r="AK75" s="28" t="s">
        <v>108</v>
      </c>
      <c r="AL75" s="28" t="s">
        <v>143</v>
      </c>
      <c r="AM75" s="28" t="s">
        <v>488</v>
      </c>
      <c r="AN75" s="28" t="s">
        <v>349</v>
      </c>
      <c r="AO75" s="28"/>
      <c r="AP75" s="28" t="s">
        <v>350</v>
      </c>
      <c r="AQ75" s="28"/>
      <c r="AR75" s="28"/>
      <c r="AS75" s="28"/>
      <c r="AT75" s="28"/>
      <c r="AU75" s="28" t="s">
        <v>142</v>
      </c>
      <c r="AV75" s="28"/>
      <c r="AW75" s="28"/>
      <c r="AX75" s="28" t="s">
        <v>484</v>
      </c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x14ac:dyDescent="0.5">
      <c r="A76" s="28" t="s">
        <v>492</v>
      </c>
      <c r="B76" s="28" t="s">
        <v>337</v>
      </c>
      <c r="C76" s="28" t="s">
        <v>338</v>
      </c>
      <c r="D76" s="28" t="s">
        <v>401</v>
      </c>
      <c r="E76" s="28" t="s">
        <v>109</v>
      </c>
      <c r="F76" s="28" t="s">
        <v>402</v>
      </c>
      <c r="G76" s="28" t="s">
        <v>501</v>
      </c>
      <c r="H76" s="28" t="s">
        <v>445</v>
      </c>
      <c r="I76" s="28" t="s">
        <v>484</v>
      </c>
      <c r="J76" s="28" t="s">
        <v>338</v>
      </c>
      <c r="K76" s="28" t="s">
        <v>485</v>
      </c>
      <c r="L76" s="28" t="s">
        <v>341</v>
      </c>
      <c r="M76" s="28" t="s">
        <v>502</v>
      </c>
      <c r="N76" s="28" t="s">
        <v>494</v>
      </c>
      <c r="O76" s="28" t="s">
        <v>405</v>
      </c>
      <c r="P76" s="28" t="s">
        <v>112</v>
      </c>
      <c r="Q76" s="28"/>
      <c r="R76" s="28"/>
      <c r="S76" s="28"/>
      <c r="T76" s="28"/>
      <c r="U76" s="28"/>
      <c r="V76" s="28" t="s">
        <v>344</v>
      </c>
      <c r="W76" s="28" t="s">
        <v>406</v>
      </c>
      <c r="X76" s="28" t="s">
        <v>346</v>
      </c>
      <c r="Y76" s="28" t="s">
        <v>347</v>
      </c>
      <c r="Z76" s="28"/>
      <c r="AA76" s="28"/>
      <c r="AB76" s="28"/>
      <c r="AC76" s="28"/>
      <c r="AD76" s="28" t="s">
        <v>109</v>
      </c>
      <c r="AE76" s="28" t="s">
        <v>482</v>
      </c>
      <c r="AF76" s="28" t="s">
        <v>495</v>
      </c>
      <c r="AG76" s="28" t="s">
        <v>357</v>
      </c>
      <c r="AH76" s="28" t="s">
        <v>109</v>
      </c>
      <c r="AI76" s="28"/>
      <c r="AJ76" s="28"/>
      <c r="AK76" s="28" t="s">
        <v>448</v>
      </c>
      <c r="AL76" s="28" t="s">
        <v>349</v>
      </c>
      <c r="AM76" s="28" t="s">
        <v>503</v>
      </c>
      <c r="AN76" s="28" t="s">
        <v>349</v>
      </c>
      <c r="AO76" s="28"/>
      <c r="AP76" s="28" t="s">
        <v>350</v>
      </c>
      <c r="AQ76" s="28"/>
      <c r="AR76" s="28"/>
      <c r="AS76" s="28"/>
      <c r="AT76" s="28"/>
      <c r="AU76" s="28" t="s">
        <v>142</v>
      </c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x14ac:dyDescent="0.5">
      <c r="A77" s="28" t="s">
        <v>497</v>
      </c>
      <c r="B77" s="28" t="s">
        <v>352</v>
      </c>
      <c r="C77" s="28" t="s">
        <v>353</v>
      </c>
      <c r="D77" s="28" t="s">
        <v>401</v>
      </c>
      <c r="E77" s="28" t="s">
        <v>109</v>
      </c>
      <c r="F77" s="28" t="s">
        <v>402</v>
      </c>
      <c r="G77" s="28" t="s">
        <v>498</v>
      </c>
      <c r="H77" s="28" t="s">
        <v>445</v>
      </c>
      <c r="I77" s="28" t="s">
        <v>484</v>
      </c>
      <c r="J77" s="28" t="s">
        <v>352</v>
      </c>
      <c r="K77" s="28" t="s">
        <v>491</v>
      </c>
      <c r="L77" s="28" t="s">
        <v>341</v>
      </c>
      <c r="M77" s="28" t="s">
        <v>499</v>
      </c>
      <c r="N77" s="28" t="s">
        <v>500</v>
      </c>
      <c r="O77" s="28" t="s">
        <v>343</v>
      </c>
      <c r="P77" s="28" t="s">
        <v>124</v>
      </c>
      <c r="Q77" s="28"/>
      <c r="R77" s="28"/>
      <c r="S77" s="28"/>
      <c r="T77" s="28"/>
      <c r="U77" s="28"/>
      <c r="V77" s="28" t="s">
        <v>355</v>
      </c>
      <c r="W77" s="28" t="s">
        <v>338</v>
      </c>
      <c r="X77" s="28" t="s">
        <v>482</v>
      </c>
      <c r="Y77" s="28"/>
      <c r="Z77" s="28"/>
      <c r="AA77" s="28"/>
      <c r="AB77" s="28"/>
      <c r="AC77" s="28"/>
      <c r="AD77" s="28" t="s">
        <v>109</v>
      </c>
      <c r="AE77" s="28" t="s">
        <v>489</v>
      </c>
      <c r="AF77" s="28" t="s">
        <v>495</v>
      </c>
      <c r="AG77" s="28" t="s">
        <v>407</v>
      </c>
      <c r="AH77" s="28" t="s">
        <v>109</v>
      </c>
      <c r="AI77" s="28"/>
      <c r="AJ77" s="28"/>
      <c r="AK77" s="28" t="s">
        <v>448</v>
      </c>
      <c r="AL77" s="28" t="s">
        <v>414</v>
      </c>
      <c r="AM77" s="28" t="s">
        <v>496</v>
      </c>
      <c r="AN77" s="28" t="s">
        <v>349</v>
      </c>
      <c r="AO77" s="28"/>
      <c r="AP77" s="28" t="s">
        <v>350</v>
      </c>
      <c r="AQ77" s="28"/>
      <c r="AR77" s="28"/>
      <c r="AS77" s="28"/>
      <c r="AT77" s="28"/>
      <c r="AU77" s="28" t="s">
        <v>142</v>
      </c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81" spans="1:64" x14ac:dyDescent="0.5">
      <c r="A81" s="27" t="s">
        <v>356</v>
      </c>
      <c r="B81" s="27"/>
      <c r="C81" s="27"/>
      <c r="D81" s="27"/>
      <c r="E81" s="27"/>
      <c r="F81" s="27"/>
      <c r="G81" s="27"/>
    </row>
    <row r="82" spans="1:64" x14ac:dyDescent="0.5">
      <c r="A82" s="26" t="s">
        <v>528</v>
      </c>
    </row>
    <row r="83" spans="1:64" x14ac:dyDescent="0.5">
      <c r="A83" s="28" t="s">
        <v>273</v>
      </c>
      <c r="B83" s="28" t="s">
        <v>166</v>
      </c>
      <c r="C83" s="28" t="s">
        <v>274</v>
      </c>
      <c r="D83" s="28" t="s">
        <v>275</v>
      </c>
      <c r="E83" s="28" t="s">
        <v>276</v>
      </c>
      <c r="F83" s="28" t="s">
        <v>277</v>
      </c>
      <c r="G83" s="28" t="s">
        <v>278</v>
      </c>
      <c r="H83" s="28" t="s">
        <v>279</v>
      </c>
      <c r="I83" s="28" t="s">
        <v>280</v>
      </c>
      <c r="J83" s="28" t="s">
        <v>281</v>
      </c>
      <c r="K83" s="28" t="s">
        <v>282</v>
      </c>
      <c r="L83" s="28" t="s">
        <v>283</v>
      </c>
      <c r="M83" s="28" t="s">
        <v>284</v>
      </c>
      <c r="N83" s="28" t="s">
        <v>285</v>
      </c>
      <c r="O83" s="28" t="s">
        <v>286</v>
      </c>
      <c r="P83" s="28" t="s">
        <v>287</v>
      </c>
      <c r="Q83" s="28" t="s">
        <v>288</v>
      </c>
      <c r="R83" s="28" t="s">
        <v>289</v>
      </c>
      <c r="S83" s="28" t="s">
        <v>290</v>
      </c>
      <c r="T83" s="28" t="s">
        <v>291</v>
      </c>
      <c r="U83" s="28" t="s">
        <v>292</v>
      </c>
      <c r="V83" s="28" t="s">
        <v>293</v>
      </c>
      <c r="W83" s="28" t="s">
        <v>294</v>
      </c>
      <c r="X83" s="28" t="s">
        <v>295</v>
      </c>
      <c r="Y83" s="28" t="s">
        <v>296</v>
      </c>
      <c r="Z83" s="28" t="s">
        <v>297</v>
      </c>
      <c r="AA83" s="28" t="s">
        <v>298</v>
      </c>
      <c r="AB83" s="28" t="s">
        <v>299</v>
      </c>
      <c r="AC83" s="28" t="s">
        <v>300</v>
      </c>
      <c r="AD83" s="28" t="s">
        <v>301</v>
      </c>
      <c r="AE83" s="28" t="s">
        <v>302</v>
      </c>
      <c r="AF83" s="28" t="s">
        <v>303</v>
      </c>
      <c r="AG83" s="28" t="s">
        <v>304</v>
      </c>
      <c r="AH83" s="28" t="s">
        <v>305</v>
      </c>
      <c r="AI83" s="28" t="s">
        <v>306</v>
      </c>
      <c r="AJ83" s="28" t="s">
        <v>307</v>
      </c>
      <c r="AK83" s="28" t="s">
        <v>308</v>
      </c>
      <c r="AL83" s="28" t="s">
        <v>309</v>
      </c>
      <c r="AM83" s="28" t="s">
        <v>310</v>
      </c>
      <c r="AN83" s="28" t="s">
        <v>311</v>
      </c>
      <c r="AO83" s="28" t="s">
        <v>312</v>
      </c>
      <c r="AP83" s="28" t="s">
        <v>313</v>
      </c>
      <c r="AQ83" s="28" t="s">
        <v>314</v>
      </c>
      <c r="AR83" s="28" t="s">
        <v>315</v>
      </c>
      <c r="AS83" s="28" t="s">
        <v>316</v>
      </c>
      <c r="AT83" s="28" t="s">
        <v>317</v>
      </c>
      <c r="AU83" s="28" t="s">
        <v>318</v>
      </c>
      <c r="AV83" s="28" t="s">
        <v>319</v>
      </c>
      <c r="AW83" s="28" t="s">
        <v>320</v>
      </c>
      <c r="AX83" s="28" t="s">
        <v>321</v>
      </c>
      <c r="AY83" s="28" t="s">
        <v>322</v>
      </c>
      <c r="AZ83" s="28" t="s">
        <v>323</v>
      </c>
      <c r="BA83" s="28" t="s">
        <v>324</v>
      </c>
      <c r="BB83" s="28" t="s">
        <v>325</v>
      </c>
      <c r="BC83" s="28" t="s">
        <v>326</v>
      </c>
      <c r="BD83" s="28" t="s">
        <v>327</v>
      </c>
      <c r="BE83" s="28" t="s">
        <v>328</v>
      </c>
      <c r="BF83" s="28" t="s">
        <v>329</v>
      </c>
      <c r="BG83" s="28" t="s">
        <v>330</v>
      </c>
      <c r="BH83" s="28" t="s">
        <v>331</v>
      </c>
      <c r="BI83" s="28" t="s">
        <v>332</v>
      </c>
      <c r="BJ83" s="28" t="s">
        <v>333</v>
      </c>
      <c r="BK83" s="28" t="s">
        <v>334</v>
      </c>
      <c r="BL83" s="28" t="s">
        <v>335</v>
      </c>
    </row>
    <row r="84" spans="1:64" x14ac:dyDescent="0.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x14ac:dyDescent="0.5">
      <c r="A85" s="28" t="s">
        <v>482</v>
      </c>
      <c r="B85" s="28" t="s">
        <v>337</v>
      </c>
      <c r="C85" s="28" t="s">
        <v>338</v>
      </c>
      <c r="D85" s="28" t="s">
        <v>401</v>
      </c>
      <c r="E85" s="28" t="s">
        <v>109</v>
      </c>
      <c r="F85" s="28" t="s">
        <v>402</v>
      </c>
      <c r="G85" s="28" t="s">
        <v>483</v>
      </c>
      <c r="H85" s="28" t="s">
        <v>115</v>
      </c>
      <c r="I85" s="28" t="s">
        <v>484</v>
      </c>
      <c r="J85" s="28" t="s">
        <v>338</v>
      </c>
      <c r="K85" s="28" t="s">
        <v>485</v>
      </c>
      <c r="L85" s="28" t="s">
        <v>341</v>
      </c>
      <c r="M85" s="28" t="s">
        <v>486</v>
      </c>
      <c r="N85" s="28" t="s">
        <v>487</v>
      </c>
      <c r="O85" s="28" t="s">
        <v>405</v>
      </c>
      <c r="P85" s="28" t="s">
        <v>112</v>
      </c>
      <c r="Q85" s="28"/>
      <c r="R85" s="28"/>
      <c r="S85" s="28"/>
      <c r="T85" s="28"/>
      <c r="U85" s="28"/>
      <c r="V85" s="28" t="s">
        <v>344</v>
      </c>
      <c r="W85" s="28" t="s">
        <v>406</v>
      </c>
      <c r="X85" s="28" t="s">
        <v>346</v>
      </c>
      <c r="Y85" s="28" t="s">
        <v>347</v>
      </c>
      <c r="Z85" s="28"/>
      <c r="AA85" s="28"/>
      <c r="AB85" s="28"/>
      <c r="AC85" s="28"/>
      <c r="AD85" s="28" t="s">
        <v>109</v>
      </c>
      <c r="AE85" s="28"/>
      <c r="AF85" s="28"/>
      <c r="AG85" s="28" t="s">
        <v>407</v>
      </c>
      <c r="AH85" s="28" t="s">
        <v>109</v>
      </c>
      <c r="AI85" s="28"/>
      <c r="AJ85" s="28"/>
      <c r="AK85" s="28" t="s">
        <v>108</v>
      </c>
      <c r="AL85" s="28" t="s">
        <v>143</v>
      </c>
      <c r="AM85" s="28" t="s">
        <v>488</v>
      </c>
      <c r="AN85" s="28" t="s">
        <v>349</v>
      </c>
      <c r="AO85" s="28"/>
      <c r="AP85" s="28" t="s">
        <v>350</v>
      </c>
      <c r="AQ85" s="28"/>
      <c r="AR85" s="28"/>
      <c r="AS85" s="28"/>
      <c r="AT85" s="28"/>
      <c r="AU85" s="28" t="s">
        <v>142</v>
      </c>
      <c r="AV85" s="28"/>
      <c r="AW85" s="28"/>
      <c r="AX85" s="28" t="s">
        <v>484</v>
      </c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x14ac:dyDescent="0.5">
      <c r="A86" s="28" t="s">
        <v>489</v>
      </c>
      <c r="B86" s="28" t="s">
        <v>352</v>
      </c>
      <c r="C86" s="28" t="s">
        <v>353</v>
      </c>
      <c r="D86" s="28" t="s">
        <v>401</v>
      </c>
      <c r="E86" s="28" t="s">
        <v>109</v>
      </c>
      <c r="F86" s="28" t="s">
        <v>402</v>
      </c>
      <c r="G86" s="28" t="s">
        <v>490</v>
      </c>
      <c r="H86" s="28" t="s">
        <v>115</v>
      </c>
      <c r="I86" s="28" t="s">
        <v>484</v>
      </c>
      <c r="J86" s="28" t="s">
        <v>352</v>
      </c>
      <c r="K86" s="28" t="s">
        <v>491</v>
      </c>
      <c r="L86" s="28" t="s">
        <v>341</v>
      </c>
      <c r="M86" s="28" t="s">
        <v>412</v>
      </c>
      <c r="N86" s="28" t="s">
        <v>413</v>
      </c>
      <c r="O86" s="28" t="s">
        <v>343</v>
      </c>
      <c r="P86" s="28" t="s">
        <v>124</v>
      </c>
      <c r="Q86" s="28"/>
      <c r="R86" s="28"/>
      <c r="S86" s="28"/>
      <c r="T86" s="28"/>
      <c r="U86" s="28"/>
      <c r="V86" s="28" t="s">
        <v>355</v>
      </c>
      <c r="W86" s="28" t="s">
        <v>338</v>
      </c>
      <c r="X86" s="28" t="s">
        <v>482</v>
      </c>
      <c r="Y86" s="28"/>
      <c r="Z86" s="28"/>
      <c r="AA86" s="28"/>
      <c r="AB86" s="28"/>
      <c r="AC86" s="28"/>
      <c r="AD86" s="28" t="s">
        <v>109</v>
      </c>
      <c r="AE86" s="28"/>
      <c r="AF86" s="28"/>
      <c r="AG86" s="28" t="s">
        <v>407</v>
      </c>
      <c r="AH86" s="28" t="s">
        <v>109</v>
      </c>
      <c r="AI86" s="28"/>
      <c r="AJ86" s="28"/>
      <c r="AK86" s="28" t="s">
        <v>108</v>
      </c>
      <c r="AL86" s="28" t="s">
        <v>143</v>
      </c>
      <c r="AM86" s="28" t="s">
        <v>488</v>
      </c>
      <c r="AN86" s="28" t="s">
        <v>349</v>
      </c>
      <c r="AO86" s="28"/>
      <c r="AP86" s="28" t="s">
        <v>350</v>
      </c>
      <c r="AQ86" s="28"/>
      <c r="AR86" s="28"/>
      <c r="AS86" s="28"/>
      <c r="AT86" s="28"/>
      <c r="AU86" s="28" t="s">
        <v>142</v>
      </c>
      <c r="AV86" s="28"/>
      <c r="AW86" s="28"/>
      <c r="AX86" s="28" t="s">
        <v>484</v>
      </c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x14ac:dyDescent="0.5">
      <c r="A87" s="28" t="s">
        <v>492</v>
      </c>
      <c r="B87" s="28" t="s">
        <v>337</v>
      </c>
      <c r="C87" s="28" t="s">
        <v>338</v>
      </c>
      <c r="D87" s="28" t="s">
        <v>401</v>
      </c>
      <c r="E87" s="28" t="s">
        <v>109</v>
      </c>
      <c r="F87" s="28" t="s">
        <v>402</v>
      </c>
      <c r="G87" s="28" t="s">
        <v>501</v>
      </c>
      <c r="H87" s="28" t="s">
        <v>445</v>
      </c>
      <c r="I87" s="28" t="s">
        <v>484</v>
      </c>
      <c r="J87" s="28" t="s">
        <v>338</v>
      </c>
      <c r="K87" s="28" t="s">
        <v>485</v>
      </c>
      <c r="L87" s="28" t="s">
        <v>341</v>
      </c>
      <c r="M87" s="28" t="s">
        <v>502</v>
      </c>
      <c r="N87" s="28" t="s">
        <v>494</v>
      </c>
      <c r="O87" s="28" t="s">
        <v>405</v>
      </c>
      <c r="P87" s="28" t="s">
        <v>112</v>
      </c>
      <c r="Q87" s="28"/>
      <c r="R87" s="28"/>
      <c r="S87" s="28"/>
      <c r="T87" s="28"/>
      <c r="U87" s="28"/>
      <c r="V87" s="28" t="s">
        <v>344</v>
      </c>
      <c r="W87" s="28" t="s">
        <v>406</v>
      </c>
      <c r="X87" s="28" t="s">
        <v>346</v>
      </c>
      <c r="Y87" s="28" t="s">
        <v>347</v>
      </c>
      <c r="Z87" s="28"/>
      <c r="AA87" s="28"/>
      <c r="AB87" s="28"/>
      <c r="AC87" s="28"/>
      <c r="AD87" s="28" t="s">
        <v>109</v>
      </c>
      <c r="AE87" s="28" t="s">
        <v>482</v>
      </c>
      <c r="AF87" s="28" t="s">
        <v>495</v>
      </c>
      <c r="AG87" s="28" t="s">
        <v>532</v>
      </c>
      <c r="AH87" s="28" t="s">
        <v>109</v>
      </c>
      <c r="AI87" s="28"/>
      <c r="AJ87" s="28"/>
      <c r="AK87" s="28" t="s">
        <v>448</v>
      </c>
      <c r="AL87" s="28" t="s">
        <v>414</v>
      </c>
      <c r="AM87" s="28" t="s">
        <v>535</v>
      </c>
      <c r="AN87" s="28" t="s">
        <v>349</v>
      </c>
      <c r="AO87" s="28"/>
      <c r="AP87" s="28" t="s">
        <v>350</v>
      </c>
      <c r="AQ87" s="28"/>
      <c r="AR87" s="28"/>
      <c r="AS87" s="28"/>
      <c r="AT87" s="28"/>
      <c r="AU87" s="28" t="s">
        <v>142</v>
      </c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x14ac:dyDescent="0.5">
      <c r="A88" s="28" t="s">
        <v>497</v>
      </c>
      <c r="B88" s="28" t="s">
        <v>352</v>
      </c>
      <c r="C88" s="28" t="s">
        <v>353</v>
      </c>
      <c r="D88" s="28" t="s">
        <v>401</v>
      </c>
      <c r="E88" s="28" t="s">
        <v>109</v>
      </c>
      <c r="F88" s="28" t="s">
        <v>402</v>
      </c>
      <c r="G88" s="28" t="s">
        <v>498</v>
      </c>
      <c r="H88" s="28" t="s">
        <v>445</v>
      </c>
      <c r="I88" s="28" t="s">
        <v>484</v>
      </c>
      <c r="J88" s="28" t="s">
        <v>352</v>
      </c>
      <c r="K88" s="28" t="s">
        <v>491</v>
      </c>
      <c r="L88" s="28" t="s">
        <v>341</v>
      </c>
      <c r="M88" s="28" t="s">
        <v>499</v>
      </c>
      <c r="N88" s="28" t="s">
        <v>500</v>
      </c>
      <c r="O88" s="28" t="s">
        <v>343</v>
      </c>
      <c r="P88" s="28" t="s">
        <v>124</v>
      </c>
      <c r="Q88" s="28"/>
      <c r="R88" s="28"/>
      <c r="S88" s="28"/>
      <c r="T88" s="28"/>
      <c r="U88" s="28"/>
      <c r="V88" s="28" t="s">
        <v>355</v>
      </c>
      <c r="W88" s="28" t="s">
        <v>338</v>
      </c>
      <c r="X88" s="28" t="s">
        <v>482</v>
      </c>
      <c r="Y88" s="28"/>
      <c r="Z88" s="28"/>
      <c r="AA88" s="28"/>
      <c r="AB88" s="28"/>
      <c r="AC88" s="28"/>
      <c r="AD88" s="28" t="s">
        <v>109</v>
      </c>
      <c r="AE88" s="28" t="s">
        <v>489</v>
      </c>
      <c r="AF88" s="28" t="s">
        <v>495</v>
      </c>
      <c r="AG88" s="28" t="s">
        <v>407</v>
      </c>
      <c r="AH88" s="28" t="s">
        <v>109</v>
      </c>
      <c r="AI88" s="28"/>
      <c r="AJ88" s="28"/>
      <c r="AK88" s="28" t="s">
        <v>448</v>
      </c>
      <c r="AL88" s="28" t="s">
        <v>414</v>
      </c>
      <c r="AM88" s="28" t="s">
        <v>496</v>
      </c>
      <c r="AN88" s="28" t="s">
        <v>349</v>
      </c>
      <c r="AO88" s="28"/>
      <c r="AP88" s="28" t="s">
        <v>350</v>
      </c>
      <c r="AQ88" s="28"/>
      <c r="AR88" s="28"/>
      <c r="AS88" s="28"/>
      <c r="AT88" s="28"/>
      <c r="AU88" s="28" t="s">
        <v>142</v>
      </c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92" spans="1:64" x14ac:dyDescent="0.5">
      <c r="A92" s="26" t="s">
        <v>527</v>
      </c>
    </row>
    <row r="93" spans="1:64" x14ac:dyDescent="0.5">
      <c r="A93" s="28" t="s">
        <v>3</v>
      </c>
      <c r="B93" s="28" t="s">
        <v>166</v>
      </c>
      <c r="C93" s="28" t="s">
        <v>274</v>
      </c>
      <c r="D93" s="28" t="s">
        <v>273</v>
      </c>
      <c r="E93" s="28" t="s">
        <v>361</v>
      </c>
      <c r="F93" s="28" t="s">
        <v>362</v>
      </c>
      <c r="G93" s="28" t="s">
        <v>363</v>
      </c>
      <c r="H93" s="28" t="s">
        <v>364</v>
      </c>
      <c r="I93" s="28" t="s">
        <v>365</v>
      </c>
      <c r="J93" s="28" t="s">
        <v>366</v>
      </c>
      <c r="K93" s="28" t="s">
        <v>367</v>
      </c>
      <c r="L93" s="28" t="s">
        <v>368</v>
      </c>
      <c r="M93" s="28" t="s">
        <v>309</v>
      </c>
      <c r="N93" s="28" t="s">
        <v>369</v>
      </c>
      <c r="O93" s="28" t="s">
        <v>370</v>
      </c>
      <c r="P93" s="28" t="s">
        <v>371</v>
      </c>
      <c r="Q93" s="28" t="s">
        <v>372</v>
      </c>
      <c r="R93" s="28" t="s">
        <v>373</v>
      </c>
      <c r="S93" s="28" t="s">
        <v>374</v>
      </c>
    </row>
    <row r="94" spans="1:64" x14ac:dyDescent="0.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</row>
    <row r="95" spans="1:64" x14ac:dyDescent="0.5">
      <c r="A95" s="28" t="s">
        <v>504</v>
      </c>
      <c r="B95" s="28" t="s">
        <v>337</v>
      </c>
      <c r="C95" s="28" t="s">
        <v>376</v>
      </c>
      <c r="D95" s="28" t="s">
        <v>482</v>
      </c>
      <c r="E95" s="28" t="s">
        <v>377</v>
      </c>
      <c r="F95" s="28" t="s">
        <v>378</v>
      </c>
      <c r="G95" s="28" t="s">
        <v>379</v>
      </c>
      <c r="H95" s="28" t="s">
        <v>420</v>
      </c>
      <c r="I95" s="28" t="s">
        <v>505</v>
      </c>
      <c r="J95" s="28" t="s">
        <v>382</v>
      </c>
      <c r="K95" s="28" t="s">
        <v>506</v>
      </c>
      <c r="L95" s="28" t="s">
        <v>407</v>
      </c>
      <c r="M95" s="28" t="s">
        <v>109</v>
      </c>
      <c r="N95" s="28"/>
      <c r="O95" s="28"/>
      <c r="P95" s="28" t="s">
        <v>384</v>
      </c>
      <c r="Q95" s="28" t="s">
        <v>420</v>
      </c>
      <c r="R95" s="28" t="s">
        <v>505</v>
      </c>
      <c r="S95" s="28" t="s">
        <v>507</v>
      </c>
    </row>
    <row r="96" spans="1:64" x14ac:dyDescent="0.5">
      <c r="A96" s="28" t="s">
        <v>508</v>
      </c>
      <c r="B96" s="28" t="s">
        <v>352</v>
      </c>
      <c r="C96" s="28" t="s">
        <v>353</v>
      </c>
      <c r="D96" s="28" t="s">
        <v>489</v>
      </c>
      <c r="E96" s="28" t="s">
        <v>377</v>
      </c>
      <c r="F96" s="28" t="s">
        <v>378</v>
      </c>
      <c r="G96" s="28" t="s">
        <v>379</v>
      </c>
      <c r="H96" s="28" t="s">
        <v>420</v>
      </c>
      <c r="I96" s="28" t="s">
        <v>505</v>
      </c>
      <c r="J96" s="28" t="s">
        <v>382</v>
      </c>
      <c r="K96" s="28" t="s">
        <v>506</v>
      </c>
      <c r="L96" s="28" t="s">
        <v>407</v>
      </c>
      <c r="M96" s="28" t="s">
        <v>109</v>
      </c>
      <c r="N96" s="28"/>
      <c r="O96" s="28"/>
      <c r="P96" s="28" t="s">
        <v>384</v>
      </c>
      <c r="Q96" s="28" t="s">
        <v>420</v>
      </c>
      <c r="R96" s="28" t="s">
        <v>505</v>
      </c>
      <c r="S96" s="28" t="s">
        <v>507</v>
      </c>
    </row>
    <row r="97" spans="1:19" x14ac:dyDescent="0.5">
      <c r="A97" s="28" t="s">
        <v>509</v>
      </c>
      <c r="B97" s="28" t="s">
        <v>337</v>
      </c>
      <c r="C97" s="28" t="s">
        <v>338</v>
      </c>
      <c r="D97" s="28" t="s">
        <v>482</v>
      </c>
      <c r="E97" s="28" t="s">
        <v>426</v>
      </c>
      <c r="F97" s="28" t="s">
        <v>378</v>
      </c>
      <c r="G97" s="28" t="s">
        <v>379</v>
      </c>
      <c r="H97" s="28" t="s">
        <v>420</v>
      </c>
      <c r="I97" s="28" t="s">
        <v>510</v>
      </c>
      <c r="J97" s="28" t="s">
        <v>382</v>
      </c>
      <c r="K97" s="28" t="s">
        <v>511</v>
      </c>
      <c r="L97" s="28" t="s">
        <v>407</v>
      </c>
      <c r="M97" s="28" t="s">
        <v>143</v>
      </c>
      <c r="N97" s="28"/>
      <c r="O97" s="28"/>
      <c r="P97" s="28" t="s">
        <v>384</v>
      </c>
      <c r="Q97" s="28" t="s">
        <v>420</v>
      </c>
      <c r="R97" s="28" t="s">
        <v>510</v>
      </c>
      <c r="S97" s="28" t="s">
        <v>512</v>
      </c>
    </row>
    <row r="98" spans="1:19" x14ac:dyDescent="0.5">
      <c r="A98" s="28" t="s">
        <v>513</v>
      </c>
      <c r="B98" s="28" t="s">
        <v>352</v>
      </c>
      <c r="C98" s="28" t="s">
        <v>353</v>
      </c>
      <c r="D98" s="28" t="s">
        <v>489</v>
      </c>
      <c r="E98" s="28" t="s">
        <v>426</v>
      </c>
      <c r="F98" s="28" t="s">
        <v>378</v>
      </c>
      <c r="G98" s="28" t="s">
        <v>379</v>
      </c>
      <c r="H98" s="28" t="s">
        <v>420</v>
      </c>
      <c r="I98" s="28" t="s">
        <v>510</v>
      </c>
      <c r="J98" s="28" t="s">
        <v>382</v>
      </c>
      <c r="K98" s="28" t="s">
        <v>511</v>
      </c>
      <c r="L98" s="28" t="s">
        <v>407</v>
      </c>
      <c r="M98" s="28" t="s">
        <v>143</v>
      </c>
      <c r="N98" s="28"/>
      <c r="O98" s="28"/>
      <c r="P98" s="28" t="s">
        <v>384</v>
      </c>
      <c r="Q98" s="28" t="s">
        <v>420</v>
      </c>
      <c r="R98" s="28" t="s">
        <v>510</v>
      </c>
      <c r="S98" s="28" t="s">
        <v>512</v>
      </c>
    </row>
    <row r="99" spans="1:19" x14ac:dyDescent="0.5">
      <c r="A99" s="28" t="s">
        <v>514</v>
      </c>
      <c r="B99" s="28" t="s">
        <v>337</v>
      </c>
      <c r="C99" s="28" t="s">
        <v>338</v>
      </c>
      <c r="D99" s="28" t="s">
        <v>482</v>
      </c>
      <c r="E99" s="28" t="s">
        <v>468</v>
      </c>
      <c r="F99" s="28" t="s">
        <v>378</v>
      </c>
      <c r="G99" s="28" t="s">
        <v>379</v>
      </c>
      <c r="H99" s="28" t="s">
        <v>420</v>
      </c>
      <c r="I99" s="28" t="s">
        <v>510</v>
      </c>
      <c r="J99" s="28" t="s">
        <v>382</v>
      </c>
      <c r="K99" s="28" t="s">
        <v>515</v>
      </c>
      <c r="L99" s="28" t="s">
        <v>407</v>
      </c>
      <c r="M99" s="28" t="s">
        <v>449</v>
      </c>
      <c r="N99" s="28"/>
      <c r="O99" s="28"/>
      <c r="P99" s="28" t="s">
        <v>384</v>
      </c>
      <c r="Q99" s="28" t="s">
        <v>420</v>
      </c>
      <c r="R99" s="28" t="s">
        <v>510</v>
      </c>
      <c r="S99" s="28" t="s">
        <v>516</v>
      </c>
    </row>
    <row r="100" spans="1:19" x14ac:dyDescent="0.5">
      <c r="A100" s="28" t="s">
        <v>517</v>
      </c>
      <c r="B100" s="28" t="s">
        <v>352</v>
      </c>
      <c r="C100" s="28" t="s">
        <v>353</v>
      </c>
      <c r="D100" s="28" t="s">
        <v>489</v>
      </c>
      <c r="E100" s="28" t="s">
        <v>468</v>
      </c>
      <c r="F100" s="28" t="s">
        <v>378</v>
      </c>
      <c r="G100" s="28" t="s">
        <v>379</v>
      </c>
      <c r="H100" s="28" t="s">
        <v>420</v>
      </c>
      <c r="I100" s="28" t="s">
        <v>510</v>
      </c>
      <c r="J100" s="28" t="s">
        <v>382</v>
      </c>
      <c r="K100" s="28" t="s">
        <v>515</v>
      </c>
      <c r="L100" s="28" t="s">
        <v>407</v>
      </c>
      <c r="M100" s="28" t="s">
        <v>449</v>
      </c>
      <c r="N100" s="28"/>
      <c r="O100" s="28"/>
      <c r="P100" s="28" t="s">
        <v>384</v>
      </c>
      <c r="Q100" s="28" t="s">
        <v>420</v>
      </c>
      <c r="R100" s="28" t="s">
        <v>510</v>
      </c>
      <c r="S100" s="28" t="s">
        <v>516</v>
      </c>
    </row>
    <row r="101" spans="1:19" x14ac:dyDescent="0.5">
      <c r="A101" s="28" t="s">
        <v>518</v>
      </c>
      <c r="B101" s="28" t="s">
        <v>337</v>
      </c>
      <c r="C101" s="28" t="s">
        <v>338</v>
      </c>
      <c r="D101" s="28" t="s">
        <v>482</v>
      </c>
      <c r="E101" s="28" t="s">
        <v>519</v>
      </c>
      <c r="F101" s="28" t="s">
        <v>378</v>
      </c>
      <c r="G101" s="28" t="s">
        <v>379</v>
      </c>
      <c r="H101" s="28" t="s">
        <v>420</v>
      </c>
      <c r="I101" s="28" t="s">
        <v>520</v>
      </c>
      <c r="J101" s="28" t="s">
        <v>382</v>
      </c>
      <c r="K101" s="28" t="s">
        <v>521</v>
      </c>
      <c r="L101" s="28" t="s">
        <v>407</v>
      </c>
      <c r="M101" s="28" t="s">
        <v>414</v>
      </c>
      <c r="N101" s="28"/>
      <c r="O101" s="28"/>
      <c r="P101" s="28" t="s">
        <v>384</v>
      </c>
      <c r="Q101" s="28" t="s">
        <v>420</v>
      </c>
      <c r="R101" s="28" t="s">
        <v>520</v>
      </c>
      <c r="S101" s="28" t="s">
        <v>522</v>
      </c>
    </row>
    <row r="102" spans="1:19" x14ac:dyDescent="0.5">
      <c r="A102" s="28" t="s">
        <v>523</v>
      </c>
      <c r="B102" s="28" t="s">
        <v>352</v>
      </c>
      <c r="C102" s="28" t="s">
        <v>353</v>
      </c>
      <c r="D102" s="28" t="s">
        <v>489</v>
      </c>
      <c r="E102" s="28" t="s">
        <v>519</v>
      </c>
      <c r="F102" s="28" t="s">
        <v>378</v>
      </c>
      <c r="G102" s="28" t="s">
        <v>379</v>
      </c>
      <c r="H102" s="28" t="s">
        <v>420</v>
      </c>
      <c r="I102" s="28" t="s">
        <v>520</v>
      </c>
      <c r="J102" s="28" t="s">
        <v>382</v>
      </c>
      <c r="K102" s="28" t="s">
        <v>521</v>
      </c>
      <c r="L102" s="28" t="s">
        <v>407</v>
      </c>
      <c r="M102" s="28" t="s">
        <v>414</v>
      </c>
      <c r="N102" s="28"/>
      <c r="O102" s="28"/>
      <c r="P102" s="28" t="s">
        <v>384</v>
      </c>
      <c r="Q102" s="28" t="s">
        <v>420</v>
      </c>
      <c r="R102" s="28" t="s">
        <v>520</v>
      </c>
      <c r="S102" s="28" t="s">
        <v>522</v>
      </c>
    </row>
    <row r="103" spans="1:19" x14ac:dyDescent="0.5">
      <c r="A103" s="28" t="s">
        <v>524</v>
      </c>
      <c r="B103" s="28" t="s">
        <v>337</v>
      </c>
      <c r="C103" s="28" t="s">
        <v>338</v>
      </c>
      <c r="D103" s="28" t="s">
        <v>482</v>
      </c>
      <c r="E103" s="28" t="s">
        <v>519</v>
      </c>
      <c r="F103" s="28" t="s">
        <v>378</v>
      </c>
      <c r="G103" s="28" t="s">
        <v>379</v>
      </c>
      <c r="H103" s="28" t="s">
        <v>420</v>
      </c>
      <c r="I103" s="28" t="s">
        <v>520</v>
      </c>
      <c r="J103" s="28" t="s">
        <v>382</v>
      </c>
      <c r="K103" s="28" t="s">
        <v>525</v>
      </c>
      <c r="L103" s="28" t="s">
        <v>357</v>
      </c>
      <c r="M103" s="28" t="s">
        <v>414</v>
      </c>
      <c r="N103" s="28" t="s">
        <v>433</v>
      </c>
      <c r="O103" s="28"/>
      <c r="P103" s="28" t="s">
        <v>384</v>
      </c>
      <c r="Q103" s="28" t="s">
        <v>420</v>
      </c>
      <c r="R103" s="28" t="s">
        <v>520</v>
      </c>
      <c r="S103" s="28" t="s">
        <v>526</v>
      </c>
    </row>
    <row r="104" spans="1:19" x14ac:dyDescent="0.5">
      <c r="A104" s="28" t="s">
        <v>534</v>
      </c>
      <c r="B104" s="28" t="s">
        <v>337</v>
      </c>
      <c r="C104" s="28" t="s">
        <v>338</v>
      </c>
      <c r="D104" s="28" t="s">
        <v>482</v>
      </c>
      <c r="E104" s="28" t="s">
        <v>519</v>
      </c>
      <c r="F104" s="28" t="s">
        <v>378</v>
      </c>
      <c r="G104" s="28" t="s">
        <v>379</v>
      </c>
      <c r="H104" s="28" t="s">
        <v>420</v>
      </c>
      <c r="I104" s="28" t="s">
        <v>505</v>
      </c>
      <c r="J104" s="28" t="s">
        <v>382</v>
      </c>
      <c r="K104" s="28" t="s">
        <v>533</v>
      </c>
      <c r="L104" s="28" t="s">
        <v>532</v>
      </c>
      <c r="M104" s="28" t="s">
        <v>414</v>
      </c>
      <c r="N104" s="28"/>
      <c r="O104" s="28"/>
      <c r="P104" s="28" t="s">
        <v>384</v>
      </c>
      <c r="Q104" s="28"/>
      <c r="R104" s="28"/>
      <c r="S104" s="28" t="s">
        <v>531</v>
      </c>
    </row>
    <row r="107" spans="1:19" x14ac:dyDescent="0.5">
      <c r="A107" s="26" t="s">
        <v>392</v>
      </c>
    </row>
    <row r="113" spans="1:64" x14ac:dyDescent="0.5">
      <c r="A113" s="25" t="s">
        <v>530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64" x14ac:dyDescent="0.5">
      <c r="A114" s="29" t="s">
        <v>529</v>
      </c>
    </row>
    <row r="115" spans="1:64" x14ac:dyDescent="0.5">
      <c r="A115" s="27" t="s">
        <v>271</v>
      </c>
      <c r="B115" s="27"/>
      <c r="C115" s="27"/>
      <c r="D115" s="27"/>
      <c r="E115" s="27"/>
      <c r="F115" s="27"/>
      <c r="G115" s="27"/>
    </row>
    <row r="116" spans="1:64" x14ac:dyDescent="0.5">
      <c r="A116" s="26" t="s">
        <v>528</v>
      </c>
    </row>
    <row r="117" spans="1:64" x14ac:dyDescent="0.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x14ac:dyDescent="0.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21" spans="1:64" x14ac:dyDescent="0.5">
      <c r="A121" s="27" t="s">
        <v>356</v>
      </c>
      <c r="B121" s="27"/>
      <c r="C121" s="27"/>
      <c r="D121" s="27"/>
      <c r="E121" s="27"/>
      <c r="F121" s="27"/>
      <c r="G121" s="27"/>
    </row>
    <row r="122" spans="1:64" x14ac:dyDescent="0.5">
      <c r="A122" s="26" t="s">
        <v>528</v>
      </c>
    </row>
    <row r="123" spans="1:64" x14ac:dyDescent="0.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x14ac:dyDescent="0.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6" spans="1:64" x14ac:dyDescent="0.5">
      <c r="A126" s="26" t="s">
        <v>527</v>
      </c>
    </row>
    <row r="127" spans="1:64" x14ac:dyDescent="0.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</row>
    <row r="128" spans="1:64" x14ac:dyDescent="0.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</row>
    <row r="129" spans="1:19" x14ac:dyDescent="0.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</row>
    <row r="130" spans="1:19" x14ac:dyDescent="0.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</row>
    <row r="131" spans="1:19" x14ac:dyDescent="0.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</row>
    <row r="132" spans="1:19" x14ac:dyDescent="0.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</row>
    <row r="133" spans="1:19" x14ac:dyDescent="0.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</row>
    <row r="134" spans="1:19" x14ac:dyDescent="0.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</row>
    <row r="135" spans="1:19" x14ac:dyDescent="0.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</row>
    <row r="136" spans="1:19" x14ac:dyDescent="0.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</row>
    <row r="137" spans="1:19" x14ac:dyDescent="0.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</row>
    <row r="138" spans="1:19" x14ac:dyDescent="0.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</row>
    <row r="139" spans="1:19" x14ac:dyDescent="0.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</row>
    <row r="140" spans="1:19" x14ac:dyDescent="0.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</row>
    <row r="141" spans="1:19" x14ac:dyDescent="0.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</row>
    <row r="142" spans="1:19" x14ac:dyDescent="0.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</row>
    <row r="143" spans="1:19" x14ac:dyDescent="0.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</row>
    <row r="144" spans="1:19" x14ac:dyDescent="0.5">
      <c r="A144" s="29"/>
    </row>
    <row r="146" spans="1:1" x14ac:dyDescent="0.5">
      <c r="A146" s="26" t="s">
        <v>392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4097" r:id="rId4">
          <objectPr defaultSize="0" autoPict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2</xdr:col>
                <xdr:colOff>190500</xdr:colOff>
                <xdr:row>64</xdr:row>
                <xdr:rowOff>238125</xdr:rowOff>
              </to>
            </anchor>
          </objectPr>
        </oleObject>
      </mc:Choice>
      <mc:Fallback>
        <oleObject progId="Packager Shell Object" shapeId="4097" r:id="rId4"/>
      </mc:Fallback>
    </mc:AlternateContent>
    <mc:AlternateContent xmlns:mc="http://schemas.openxmlformats.org/markup-compatibility/2006">
      <mc:Choice Requires="x14">
        <oleObject progId="Packager Shell Object" shapeId="4098" r:id="rId6">
          <objectPr defaultSize="0" autoPict="0" r:id="rId7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2</xdr:col>
                <xdr:colOff>209550</xdr:colOff>
                <xdr:row>108</xdr:row>
                <xdr:rowOff>238125</xdr:rowOff>
              </to>
            </anchor>
          </objectPr>
        </oleObject>
      </mc:Choice>
      <mc:Fallback>
        <oleObject progId="Packager Shell Object" shapeId="4098" r:id="rId6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48EF-34AC-480B-A23D-2D0593C55FF6}">
  <dimension ref="A1:Y6"/>
  <sheetViews>
    <sheetView zoomScale="80" zoomScaleNormal="80" workbookViewId="0">
      <selection activeCell="D12" sqref="D12:F12"/>
    </sheetView>
  </sheetViews>
  <sheetFormatPr defaultColWidth="9" defaultRowHeight="21.75" x14ac:dyDescent="0.5"/>
  <cols>
    <col min="1" max="16" width="9" style="26"/>
    <col min="17" max="17" width="14.375" style="26" bestFit="1" customWidth="1"/>
    <col min="18" max="21" width="9" style="26"/>
    <col min="22" max="22" width="16" style="26" bestFit="1" customWidth="1"/>
    <col min="23" max="23" width="16.875" style="26" bestFit="1" customWidth="1"/>
    <col min="24" max="24" width="17.75" style="26" bestFit="1" customWidth="1"/>
    <col min="25" max="25" width="11.75" style="26" bestFit="1" customWidth="1"/>
    <col min="26" max="38" width="9" style="26"/>
    <col min="39" max="39" width="15.875" style="26" bestFit="1" customWidth="1"/>
    <col min="40" max="49" width="9" style="26"/>
    <col min="50" max="50" width="20" style="26" bestFit="1" customWidth="1"/>
    <col min="51" max="63" width="9" style="26"/>
    <col min="64" max="64" width="23" style="26" bestFit="1" customWidth="1"/>
    <col min="65" max="16384" width="9" style="26"/>
  </cols>
  <sheetData>
    <row r="1" spans="1:25" x14ac:dyDescent="0.5">
      <c r="A1" s="25" t="s">
        <v>980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3" spans="1:25" x14ac:dyDescent="0.5">
      <c r="A3" s="26" t="s">
        <v>981</v>
      </c>
    </row>
    <row r="6" spans="1:25" x14ac:dyDescent="0.5">
      <c r="B6" s="220" t="s">
        <v>982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8CCD-A5EB-4CE2-BCC0-C3F76961B462}">
  <dimension ref="A1:L52"/>
  <sheetViews>
    <sheetView topLeftCell="A10" zoomScale="80" zoomScaleNormal="80" workbookViewId="0">
      <selection activeCell="D12" sqref="D12:F12"/>
    </sheetView>
  </sheetViews>
  <sheetFormatPr defaultRowHeight="14.25" x14ac:dyDescent="0.2"/>
  <cols>
    <col min="1" max="3" width="9" style="223"/>
    <col min="4" max="4" width="14.875" style="223" bestFit="1" customWidth="1"/>
    <col min="5" max="5" width="10.875" style="223" bestFit="1" customWidth="1"/>
    <col min="6" max="6" width="31.375" style="223" bestFit="1" customWidth="1"/>
    <col min="7" max="7" width="44" style="223" bestFit="1" customWidth="1"/>
    <col min="8" max="8" width="10.125" style="223" bestFit="1" customWidth="1"/>
    <col min="9" max="9" width="8.375" style="223" customWidth="1"/>
    <col min="10" max="10" width="10.25" style="223" bestFit="1" customWidth="1"/>
    <col min="11" max="11" width="9.625" style="223" bestFit="1" customWidth="1"/>
    <col min="12" max="12" width="28.375" style="223" bestFit="1" customWidth="1"/>
    <col min="13" max="16384" width="9" style="223"/>
  </cols>
  <sheetData>
    <row r="1" spans="1:12" ht="27" thickBot="1" x14ac:dyDescent="0.6">
      <c r="A1" s="221" t="s">
        <v>822</v>
      </c>
      <c r="B1" s="221"/>
      <c r="C1" s="221"/>
      <c r="D1" s="221"/>
      <c r="E1" s="221"/>
      <c r="F1" s="221"/>
      <c r="G1" s="221"/>
      <c r="H1" s="221"/>
      <c r="I1" s="221"/>
      <c r="J1" s="221"/>
      <c r="K1" s="222"/>
      <c r="L1" s="222"/>
    </row>
    <row r="2" spans="1:12" ht="21.75" thickBot="1" x14ac:dyDescent="0.5">
      <c r="A2" s="224" t="s">
        <v>566</v>
      </c>
      <c r="B2" s="224"/>
      <c r="C2" s="224"/>
      <c r="D2" s="224"/>
      <c r="E2" s="224"/>
      <c r="F2" s="224"/>
      <c r="G2" s="225" t="s">
        <v>983</v>
      </c>
      <c r="H2" s="225"/>
      <c r="I2" s="225"/>
      <c r="J2" s="226"/>
      <c r="K2" s="227" t="s">
        <v>568</v>
      </c>
      <c r="L2" s="228" t="s">
        <v>569</v>
      </c>
    </row>
    <row r="3" spans="1:12" ht="43.5" x14ac:dyDescent="0.5">
      <c r="A3" s="229" t="s">
        <v>570</v>
      </c>
      <c r="B3" s="229"/>
      <c r="C3" s="229"/>
      <c r="D3" s="230" t="s">
        <v>984</v>
      </c>
      <c r="E3" s="231"/>
      <c r="F3" s="231"/>
      <c r="G3" s="232" t="s">
        <v>571</v>
      </c>
      <c r="H3" s="233" t="s">
        <v>985</v>
      </c>
      <c r="I3" s="233"/>
      <c r="J3" s="234"/>
      <c r="K3" s="235" t="s">
        <v>572</v>
      </c>
      <c r="L3" s="236" t="s">
        <v>986</v>
      </c>
    </row>
    <row r="4" spans="1:12" ht="21.75" x14ac:dyDescent="0.5">
      <c r="A4" s="237" t="s">
        <v>573</v>
      </c>
      <c r="B4" s="237"/>
      <c r="C4" s="237"/>
      <c r="D4" s="238" t="s">
        <v>987</v>
      </c>
      <c r="E4" s="238"/>
      <c r="F4" s="238"/>
      <c r="G4" s="239" t="s">
        <v>574</v>
      </c>
      <c r="H4" s="240" t="s">
        <v>988</v>
      </c>
      <c r="I4" s="240"/>
      <c r="J4" s="241"/>
      <c r="K4" s="242" t="s">
        <v>575</v>
      </c>
      <c r="L4" s="243" t="s">
        <v>989</v>
      </c>
    </row>
    <row r="5" spans="1:12" ht="22.5" thickBot="1" x14ac:dyDescent="0.55000000000000004">
      <c r="A5" s="237" t="s">
        <v>576</v>
      </c>
      <c r="B5" s="237"/>
      <c r="C5" s="237"/>
      <c r="D5" s="244" t="s">
        <v>577</v>
      </c>
      <c r="E5" s="245" t="s">
        <v>578</v>
      </c>
      <c r="F5" s="246"/>
      <c r="G5" s="247" t="s">
        <v>990</v>
      </c>
      <c r="H5" s="248" t="s">
        <v>580</v>
      </c>
      <c r="I5" s="248"/>
      <c r="J5" s="248" t="s">
        <v>581</v>
      </c>
      <c r="K5" s="249" t="s">
        <v>582</v>
      </c>
      <c r="L5" s="250" t="s">
        <v>991</v>
      </c>
    </row>
    <row r="6" spans="1:12" ht="21.75" x14ac:dyDescent="0.2">
      <c r="A6" s="237" t="s">
        <v>583</v>
      </c>
      <c r="B6" s="237"/>
      <c r="C6" s="237"/>
      <c r="D6" s="251" t="s">
        <v>992</v>
      </c>
      <c r="E6" s="245" t="s">
        <v>584</v>
      </c>
      <c r="F6" s="251" t="s">
        <v>993</v>
      </c>
      <c r="G6" s="239" t="s">
        <v>585</v>
      </c>
      <c r="H6" s="252" t="s">
        <v>586</v>
      </c>
      <c r="I6" s="252"/>
      <c r="J6" s="253"/>
      <c r="K6" s="254"/>
      <c r="L6" s="254"/>
    </row>
    <row r="7" spans="1:12" ht="21.75" x14ac:dyDescent="0.5">
      <c r="A7" s="255" t="s">
        <v>587</v>
      </c>
      <c r="B7" s="255"/>
      <c r="C7" s="255"/>
      <c r="D7" s="238" t="s">
        <v>994</v>
      </c>
      <c r="E7" s="238"/>
      <c r="F7" s="238"/>
      <c r="G7" s="256" t="s">
        <v>995</v>
      </c>
      <c r="H7" s="257" t="s">
        <v>580</v>
      </c>
      <c r="I7" s="257"/>
      <c r="J7" s="258" t="s">
        <v>581</v>
      </c>
      <c r="K7" s="259"/>
      <c r="L7" s="259"/>
    </row>
    <row r="8" spans="1:12" ht="21.75" x14ac:dyDescent="0.5">
      <c r="A8" s="237" t="s">
        <v>590</v>
      </c>
      <c r="B8" s="237"/>
      <c r="C8" s="237"/>
      <c r="D8" s="260" t="s">
        <v>996</v>
      </c>
      <c r="E8" s="260"/>
      <c r="F8" s="260"/>
      <c r="G8" s="239" t="s">
        <v>585</v>
      </c>
      <c r="H8" s="252" t="s">
        <v>586</v>
      </c>
      <c r="I8" s="252"/>
      <c r="J8" s="253"/>
      <c r="K8" s="259"/>
      <c r="L8" s="259"/>
    </row>
    <row r="9" spans="1:12" ht="63" x14ac:dyDescent="0.5">
      <c r="A9" s="237" t="s">
        <v>592</v>
      </c>
      <c r="B9" s="237"/>
      <c r="C9" s="237"/>
      <c r="D9" s="261" t="s">
        <v>997</v>
      </c>
      <c r="E9" s="245" t="s">
        <v>593</v>
      </c>
      <c r="F9" s="262" t="s">
        <v>998</v>
      </c>
      <c r="G9" s="263" t="s">
        <v>594</v>
      </c>
      <c r="H9" s="257" t="s">
        <v>580</v>
      </c>
      <c r="I9" s="257"/>
      <c r="J9" s="258" t="s">
        <v>581</v>
      </c>
      <c r="K9" s="259"/>
      <c r="L9" s="259"/>
    </row>
    <row r="10" spans="1:12" ht="21.75" x14ac:dyDescent="0.5">
      <c r="A10" s="264" t="s">
        <v>595</v>
      </c>
      <c r="B10" s="264"/>
      <c r="C10" s="264"/>
      <c r="D10" s="260" t="s">
        <v>999</v>
      </c>
      <c r="E10" s="260"/>
      <c r="F10" s="260"/>
      <c r="G10" s="239" t="s">
        <v>585</v>
      </c>
      <c r="H10" s="252" t="s">
        <v>586</v>
      </c>
      <c r="I10" s="252"/>
      <c r="J10" s="253"/>
      <c r="K10" s="259"/>
      <c r="L10" s="259"/>
    </row>
    <row r="11" spans="1:12" ht="21.75" x14ac:dyDescent="0.5">
      <c r="A11" s="237" t="s">
        <v>596</v>
      </c>
      <c r="B11" s="237"/>
      <c r="C11" s="237"/>
      <c r="D11" s="238" t="s">
        <v>1000</v>
      </c>
      <c r="E11" s="238"/>
      <c r="F11" s="238"/>
      <c r="G11" s="265" t="s">
        <v>1001</v>
      </c>
      <c r="H11" s="266"/>
      <c r="I11" s="266"/>
      <c r="J11" s="267"/>
      <c r="K11" s="259"/>
      <c r="L11" s="259"/>
    </row>
    <row r="12" spans="1:12" ht="21.75" x14ac:dyDescent="0.2">
      <c r="A12" s="268" t="s">
        <v>597</v>
      </c>
      <c r="B12" s="268"/>
      <c r="C12" s="268"/>
      <c r="D12" s="269" t="s">
        <v>1002</v>
      </c>
      <c r="E12" s="238"/>
      <c r="F12" s="238"/>
      <c r="G12" s="270" t="s">
        <v>1003</v>
      </c>
      <c r="H12" s="271"/>
      <c r="I12" s="271"/>
      <c r="J12" s="272"/>
      <c r="K12" s="254"/>
      <c r="L12" s="254"/>
    </row>
    <row r="13" spans="1:12" ht="21.75" x14ac:dyDescent="0.5">
      <c r="A13" s="237" t="s">
        <v>599</v>
      </c>
      <c r="B13" s="237"/>
      <c r="C13" s="237"/>
      <c r="D13" s="238" t="s">
        <v>1004</v>
      </c>
      <c r="E13" s="238"/>
      <c r="F13" s="238"/>
      <c r="G13" s="273" t="s">
        <v>1005</v>
      </c>
      <c r="H13" s="274"/>
      <c r="I13" s="274"/>
      <c r="J13" s="275"/>
      <c r="K13" s="259"/>
      <c r="L13" s="259"/>
    </row>
    <row r="14" spans="1:12" ht="42" x14ac:dyDescent="0.5">
      <c r="A14" s="237" t="s">
        <v>602</v>
      </c>
      <c r="B14" s="237"/>
      <c r="C14" s="237"/>
      <c r="D14" s="276" t="s">
        <v>1006</v>
      </c>
      <c r="E14" s="246" t="s">
        <v>603</v>
      </c>
      <c r="F14" s="277" t="s">
        <v>1007</v>
      </c>
      <c r="G14" s="278" t="s">
        <v>1008</v>
      </c>
      <c r="H14" s="278"/>
      <c r="I14" s="278"/>
      <c r="J14" s="278"/>
      <c r="K14" s="259"/>
      <c r="L14" s="259"/>
    </row>
    <row r="15" spans="1:12" x14ac:dyDescent="0.2">
      <c r="A15" s="279"/>
      <c r="B15" s="279"/>
      <c r="C15" s="279"/>
      <c r="D15" s="280"/>
      <c r="E15" s="281"/>
      <c r="F15" s="282"/>
      <c r="G15" s="281"/>
      <c r="H15" s="281"/>
      <c r="I15" s="281"/>
      <c r="J15" s="281"/>
      <c r="K15" s="283"/>
      <c r="L15" s="283"/>
    </row>
    <row r="16" spans="1:12" ht="42" x14ac:dyDescent="0.2">
      <c r="A16" s="284" t="s">
        <v>604</v>
      </c>
      <c r="B16" s="285" t="s">
        <v>605</v>
      </c>
      <c r="C16" s="285" t="s">
        <v>606</v>
      </c>
      <c r="D16" s="284" t="s">
        <v>607</v>
      </c>
      <c r="E16" s="285" t="s">
        <v>608</v>
      </c>
      <c r="F16" s="284" t="s">
        <v>609</v>
      </c>
      <c r="G16" s="285" t="s">
        <v>610</v>
      </c>
      <c r="H16" s="286" t="s">
        <v>611</v>
      </c>
      <c r="I16" s="286" t="s">
        <v>612</v>
      </c>
      <c r="J16" s="286" t="s">
        <v>613</v>
      </c>
      <c r="K16" s="287"/>
      <c r="L16" s="287"/>
    </row>
    <row r="17" spans="1:10" ht="21.75" x14ac:dyDescent="0.5">
      <c r="A17" s="288"/>
      <c r="B17" s="289"/>
      <c r="C17" s="289"/>
      <c r="D17" s="288"/>
      <c r="E17" s="288"/>
      <c r="F17" s="290"/>
      <c r="G17" s="288"/>
      <c r="H17" s="291"/>
      <c r="I17" s="292"/>
      <c r="J17" s="292"/>
    </row>
    <row r="18" spans="1:10" ht="174" x14ac:dyDescent="0.2">
      <c r="A18" s="293" t="s">
        <v>1009</v>
      </c>
      <c r="B18" s="294" t="s">
        <v>1010</v>
      </c>
      <c r="C18" s="294" t="s">
        <v>1011</v>
      </c>
      <c r="D18" s="293" t="s">
        <v>1012</v>
      </c>
      <c r="E18" s="293" t="s">
        <v>1013</v>
      </c>
      <c r="F18" s="295" t="s">
        <v>1014</v>
      </c>
      <c r="G18" s="293" t="s">
        <v>1015</v>
      </c>
      <c r="H18" s="296" t="s">
        <v>1016</v>
      </c>
      <c r="I18" s="293" t="s">
        <v>1017</v>
      </c>
      <c r="J18" s="293" t="s">
        <v>1018</v>
      </c>
    </row>
    <row r="19" spans="1:10" ht="21.75" x14ac:dyDescent="0.5">
      <c r="A19" s="297"/>
      <c r="B19" s="298"/>
      <c r="C19" s="299" t="s">
        <v>1019</v>
      </c>
      <c r="D19" s="300"/>
      <c r="E19" s="297"/>
      <c r="F19" s="300"/>
      <c r="G19" s="297"/>
      <c r="H19" s="297" t="s">
        <v>1020</v>
      </c>
      <c r="I19" s="297"/>
      <c r="J19" s="297"/>
    </row>
    <row r="20" spans="1:10" ht="21.75" x14ac:dyDescent="0.5">
      <c r="A20" s="292"/>
      <c r="B20" s="292"/>
      <c r="C20" s="292"/>
      <c r="D20" s="301"/>
      <c r="E20" s="292"/>
      <c r="F20" s="292"/>
      <c r="G20" s="292"/>
      <c r="H20" s="292"/>
      <c r="I20" s="292"/>
      <c r="J20" s="292"/>
    </row>
    <row r="21" spans="1:10" ht="21.75" x14ac:dyDescent="0.5">
      <c r="A21" s="302" t="s">
        <v>1021</v>
      </c>
      <c r="B21" s="302"/>
      <c r="C21" s="302"/>
      <c r="D21" s="303"/>
      <c r="E21" s="302"/>
      <c r="F21" s="303"/>
      <c r="G21" s="302"/>
      <c r="H21" s="302"/>
      <c r="I21" s="302"/>
      <c r="J21" s="302"/>
    </row>
    <row r="22" spans="1:10" ht="21.75" x14ac:dyDescent="0.5">
      <c r="A22" s="302" t="s">
        <v>1022</v>
      </c>
      <c r="B22" s="302"/>
      <c r="C22" s="302"/>
      <c r="D22" s="303"/>
      <c r="E22" s="302"/>
      <c r="F22" s="303"/>
      <c r="G22" s="302"/>
      <c r="H22" s="302"/>
      <c r="I22" s="302"/>
      <c r="J22" s="302"/>
    </row>
    <row r="23" spans="1:10" ht="21.75" x14ac:dyDescent="0.5">
      <c r="A23" s="302" t="s">
        <v>1023</v>
      </c>
      <c r="B23" s="302"/>
      <c r="C23" s="302"/>
      <c r="D23" s="303"/>
      <c r="E23" s="302"/>
      <c r="F23" s="303"/>
      <c r="G23" s="302"/>
      <c r="H23" s="302"/>
      <c r="I23" s="302"/>
      <c r="J23" s="302"/>
    </row>
    <row r="24" spans="1:10" ht="21.75" x14ac:dyDescent="0.5">
      <c r="A24" s="304"/>
      <c r="B24" s="304"/>
      <c r="C24" s="304"/>
      <c r="D24" s="305"/>
      <c r="E24" s="304"/>
      <c r="F24" s="305"/>
      <c r="G24" s="304"/>
      <c r="H24" s="304"/>
      <c r="I24" s="304"/>
      <c r="J24" s="304"/>
    </row>
    <row r="25" spans="1:10" ht="21.75" x14ac:dyDescent="0.5">
      <c r="A25" s="306" t="s">
        <v>1024</v>
      </c>
      <c r="B25" s="307"/>
      <c r="C25" s="307"/>
      <c r="D25" s="308"/>
      <c r="E25" s="304"/>
      <c r="F25" s="305"/>
      <c r="G25" s="304"/>
      <c r="H25" s="304"/>
      <c r="I25" s="304"/>
      <c r="J25" s="304"/>
    </row>
    <row r="26" spans="1:10" ht="21.75" x14ac:dyDescent="0.5">
      <c r="A26" s="307" t="s">
        <v>1025</v>
      </c>
      <c r="B26" s="307"/>
      <c r="C26" s="307"/>
      <c r="D26" s="308"/>
      <c r="E26" s="304"/>
      <c r="F26" s="305"/>
      <c r="G26" s="304"/>
      <c r="H26" s="304"/>
      <c r="I26" s="304"/>
      <c r="J26" s="304"/>
    </row>
    <row r="27" spans="1:10" ht="21.75" x14ac:dyDescent="0.5">
      <c r="A27" s="307" t="s">
        <v>1026</v>
      </c>
      <c r="B27" s="307"/>
      <c r="C27" s="307"/>
      <c r="D27" s="308"/>
      <c r="E27" s="304"/>
      <c r="F27" s="305"/>
      <c r="G27" s="304"/>
      <c r="H27" s="304"/>
      <c r="I27" s="304"/>
      <c r="J27" s="304"/>
    </row>
    <row r="28" spans="1:10" ht="21.75" x14ac:dyDescent="0.5">
      <c r="A28" s="307" t="s">
        <v>1027</v>
      </c>
      <c r="B28" s="307"/>
      <c r="C28" s="307"/>
      <c r="D28" s="308"/>
      <c r="E28" s="304"/>
      <c r="F28" s="305"/>
      <c r="G28" s="304"/>
      <c r="H28" s="304"/>
      <c r="I28" s="304"/>
      <c r="J28" s="304"/>
    </row>
    <row r="29" spans="1:10" ht="21.75" x14ac:dyDescent="0.5">
      <c r="A29" s="304"/>
      <c r="B29" s="304"/>
      <c r="C29" s="304"/>
      <c r="D29" s="305"/>
      <c r="E29" s="304"/>
      <c r="F29" s="305"/>
      <c r="G29" s="304"/>
      <c r="H29" s="304"/>
      <c r="I29" s="304"/>
      <c r="J29" s="304"/>
    </row>
    <row r="30" spans="1:10" ht="21.75" x14ac:dyDescent="0.5">
      <c r="A30" s="304"/>
      <c r="B30" s="304"/>
      <c r="C30" s="304"/>
      <c r="D30" s="305"/>
      <c r="E30" s="304"/>
      <c r="F30" s="305"/>
      <c r="G30" s="304"/>
      <c r="H30" s="304"/>
      <c r="I30" s="304"/>
      <c r="J30" s="304"/>
    </row>
    <row r="31" spans="1:10" ht="21.75" x14ac:dyDescent="0.5">
      <c r="A31" s="304"/>
      <c r="B31" s="304"/>
      <c r="C31" s="304"/>
      <c r="D31" s="305"/>
      <c r="E31" s="304"/>
      <c r="F31" s="305"/>
      <c r="G31" s="304"/>
      <c r="H31" s="304"/>
      <c r="I31" s="304"/>
      <c r="J31" s="304"/>
    </row>
    <row r="32" spans="1:10" ht="21.75" x14ac:dyDescent="0.5">
      <c r="A32" s="304"/>
      <c r="B32" s="304"/>
      <c r="C32" s="304"/>
      <c r="D32" s="305"/>
      <c r="E32" s="304"/>
      <c r="F32" s="305"/>
      <c r="G32" s="304"/>
      <c r="H32" s="304"/>
      <c r="I32" s="304"/>
      <c r="J32" s="304"/>
    </row>
    <row r="33" spans="4:6" ht="21.75" x14ac:dyDescent="0.5">
      <c r="D33" s="305"/>
      <c r="E33" s="304"/>
      <c r="F33" s="305"/>
    </row>
    <row r="34" spans="4:6" ht="21.75" x14ac:dyDescent="0.5">
      <c r="D34" s="305"/>
      <c r="E34" s="304"/>
      <c r="F34" s="305"/>
    </row>
    <row r="35" spans="4:6" ht="21.75" x14ac:dyDescent="0.5">
      <c r="D35" s="305"/>
      <c r="E35" s="304"/>
      <c r="F35" s="305"/>
    </row>
    <row r="36" spans="4:6" ht="21.75" x14ac:dyDescent="0.5">
      <c r="D36" s="305"/>
      <c r="E36" s="304"/>
      <c r="F36" s="305"/>
    </row>
    <row r="37" spans="4:6" ht="21.75" x14ac:dyDescent="0.5">
      <c r="D37" s="305"/>
      <c r="E37" s="304"/>
      <c r="F37" s="305"/>
    </row>
    <row r="38" spans="4:6" ht="21.75" x14ac:dyDescent="0.5">
      <c r="D38" s="305"/>
      <c r="E38" s="304"/>
      <c r="F38" s="305"/>
    </row>
    <row r="39" spans="4:6" ht="21.75" x14ac:dyDescent="0.5">
      <c r="D39" s="305"/>
      <c r="E39" s="304"/>
      <c r="F39" s="305"/>
    </row>
    <row r="40" spans="4:6" ht="21.75" x14ac:dyDescent="0.5">
      <c r="D40" s="305"/>
      <c r="E40" s="304"/>
      <c r="F40" s="305"/>
    </row>
    <row r="41" spans="4:6" ht="21.75" x14ac:dyDescent="0.5">
      <c r="D41" s="305"/>
      <c r="E41" s="304"/>
      <c r="F41" s="305"/>
    </row>
    <row r="42" spans="4:6" ht="21.75" x14ac:dyDescent="0.5">
      <c r="D42" s="305"/>
      <c r="E42" s="304"/>
      <c r="F42" s="305"/>
    </row>
    <row r="43" spans="4:6" ht="21.75" x14ac:dyDescent="0.5">
      <c r="D43" s="305"/>
      <c r="E43" s="304"/>
      <c r="F43" s="305"/>
    </row>
    <row r="44" spans="4:6" ht="21.75" x14ac:dyDescent="0.5">
      <c r="D44" s="305"/>
      <c r="E44" s="304"/>
      <c r="F44" s="305"/>
    </row>
    <row r="45" spans="4:6" ht="21.75" x14ac:dyDescent="0.5">
      <c r="D45" s="305"/>
      <c r="E45" s="304"/>
      <c r="F45" s="305"/>
    </row>
    <row r="46" spans="4:6" ht="21.75" x14ac:dyDescent="0.5">
      <c r="D46" s="305"/>
      <c r="E46" s="304"/>
      <c r="F46" s="305"/>
    </row>
    <row r="47" spans="4:6" ht="21.75" x14ac:dyDescent="0.5">
      <c r="D47" s="305"/>
      <c r="E47" s="304"/>
      <c r="F47" s="305"/>
    </row>
    <row r="48" spans="4:6" ht="21.75" x14ac:dyDescent="0.5">
      <c r="D48" s="305"/>
      <c r="E48" s="304"/>
      <c r="F48" s="305"/>
    </row>
    <row r="49" spans="4:6" ht="21.75" x14ac:dyDescent="0.5">
      <c r="D49" s="305"/>
      <c r="E49" s="304"/>
      <c r="F49" s="305"/>
    </row>
    <row r="50" spans="4:6" ht="21.75" x14ac:dyDescent="0.5">
      <c r="D50" s="305"/>
      <c r="E50" s="304"/>
      <c r="F50" s="305"/>
    </row>
    <row r="51" spans="4:6" ht="21.75" x14ac:dyDescent="0.5">
      <c r="D51" s="305"/>
      <c r="E51" s="304"/>
      <c r="F51" s="305"/>
    </row>
    <row r="52" spans="4:6" ht="21.75" x14ac:dyDescent="0.5">
      <c r="D52" s="305"/>
      <c r="E52" s="304"/>
      <c r="F52" s="305"/>
    </row>
  </sheetData>
  <mergeCells count="26">
    <mergeCell ref="A13:C13"/>
    <mergeCell ref="D13:F13"/>
    <mergeCell ref="G13:J13"/>
    <mergeCell ref="A14:C14"/>
    <mergeCell ref="G14:J14"/>
    <mergeCell ref="A9:C9"/>
    <mergeCell ref="A10:C10"/>
    <mergeCell ref="D10:F10"/>
    <mergeCell ref="A11:C11"/>
    <mergeCell ref="D11:F11"/>
    <mergeCell ref="A12:C12"/>
    <mergeCell ref="D12:F12"/>
    <mergeCell ref="A5:C5"/>
    <mergeCell ref="A6:C6"/>
    <mergeCell ref="A7:C7"/>
    <mergeCell ref="D7:F7"/>
    <mergeCell ref="A8:C8"/>
    <mergeCell ref="D8:F8"/>
    <mergeCell ref="A1:J1"/>
    <mergeCell ref="A2:F2"/>
    <mergeCell ref="G2:J2"/>
    <mergeCell ref="A3:C3"/>
    <mergeCell ref="H3:J3"/>
    <mergeCell ref="A4:C4"/>
    <mergeCell ref="D4:F4"/>
    <mergeCell ref="H4:I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9466-4DDB-40F8-AC32-9E88744501D7}">
  <dimension ref="A1:R23"/>
  <sheetViews>
    <sheetView workbookViewId="0">
      <selection activeCell="D2" sqref="D2"/>
    </sheetView>
  </sheetViews>
  <sheetFormatPr defaultRowHeight="14.25" x14ac:dyDescent="0.2"/>
  <cols>
    <col min="1" max="18" width="12.625" style="223" customWidth="1"/>
    <col min="19" max="20" width="1.875" style="223" bestFit="1" customWidth="1"/>
    <col min="21" max="16384" width="9" style="223"/>
  </cols>
  <sheetData>
    <row r="1" spans="1:18" ht="30" customHeight="1" x14ac:dyDescent="0.2">
      <c r="A1" s="84" t="s">
        <v>653</v>
      </c>
      <c r="B1" s="84" t="s">
        <v>654</v>
      </c>
      <c r="C1" s="84" t="s">
        <v>655</v>
      </c>
      <c r="D1" s="84" t="s">
        <v>656</v>
      </c>
      <c r="E1" s="84" t="s">
        <v>657</v>
      </c>
      <c r="F1" s="84" t="s">
        <v>658</v>
      </c>
      <c r="G1" s="84" t="s">
        <v>248</v>
      </c>
      <c r="H1" s="84" t="s">
        <v>966</v>
      </c>
      <c r="I1" s="84" t="s">
        <v>159</v>
      </c>
      <c r="J1" s="84" t="s">
        <v>967</v>
      </c>
      <c r="K1" s="84" t="s">
        <v>968</v>
      </c>
      <c r="L1" s="84" t="s">
        <v>969</v>
      </c>
      <c r="M1" s="84" t="s">
        <v>970</v>
      </c>
      <c r="N1" s="84" t="s">
        <v>971</v>
      </c>
      <c r="O1" s="84" t="s">
        <v>972</v>
      </c>
      <c r="P1" s="84" t="s">
        <v>973</v>
      </c>
      <c r="Q1" s="84" t="s">
        <v>974</v>
      </c>
      <c r="R1" s="84" t="s">
        <v>975</v>
      </c>
    </row>
    <row r="2" spans="1:18" x14ac:dyDescent="0.2">
      <c r="A2" s="223" t="str" cm="1">
        <f t="array" ref="A2">INDEX('SR History'!A:A,COUNTA('SR History'!A:A)+1)</f>
        <v>CP ALL GROUP-2025/03746</v>
      </c>
      <c r="B2" s="309" cm="1">
        <f t="array" ref="B2">INDEX('SR History'!B:B,COUNTA('SR History'!B:B)+2)</f>
        <v>244236</v>
      </c>
      <c r="C2" s="223" t="str" cm="1">
        <f t="array" ref="C2">INDEX('SR History'!C:C,COUNTA('SR History'!C:C)+2)</f>
        <v>25009A</v>
      </c>
      <c r="D2" s="223" t="str" cm="1">
        <f t="array" ref="D2">INDEX('SR History'!D:D,COUNTA('SR History'!D:D)+2)</f>
        <v xml:space="preserve">New Client 10972_กรุงเทพมหานคร
 (Owner AE : Thanat-On N. / BA : Arreeya S. , Channel : POS, SAMEDAY, BACKEND) 
- Service 01-50 ชำระค่าขยะ
- ระบบ Full online
 - Memo : CS-BUD3 642/2568 
- มีผลวันที่ 28 สิงหาคม 2568
 - อ้างอิงเอกสาร =&gt; 10972_กรุงเทพมหานครV0.4.xlsx
</v>
      </c>
      <c r="E2" s="223" t="str" cm="1">
        <f t="array" ref="E2">INDEX('SR History'!E:E,COUNTA('SR History'!E:E)+2)</f>
        <v>2 MD</v>
      </c>
      <c r="F2" s="223" t="str" cm="1">
        <f t="array" ref="F2">INDEX('SR History'!F:F,COUNTA('SR History'!F:F)+2)</f>
        <v>Nakarin S.</v>
      </c>
      <c r="G2" s="223" t="str" cm="1">
        <f t="array" ref="G2">INDEX('SR History'!G:G,COUNTA('SR History'!G:G)+2)</f>
        <v xml:space="preserve">New Full </v>
      </c>
      <c r="H2" s="223" cm="1">
        <f t="array" ref="H2">INDEX('SR History'!H:H,COUNTA('SR History'!H:H)+2)</f>
        <v>0</v>
      </c>
      <c r="I2" s="223" cm="1">
        <f t="array" ref="I2">INDEX('SR History'!I:I,COUNTA('SR History'!I:I)+1)</f>
        <v>10800</v>
      </c>
      <c r="J2" s="223" cm="1">
        <f t="array" ref="J2">INDEX('SR History'!J:J,COUNTA('SR History'!J:J)+2)</f>
        <v>0</v>
      </c>
      <c r="K2" s="223" t="str" cm="1">
        <f t="array" ref="K2">INDEX('SR History'!K:K,COUNTA('SR History'!K:K)+1)</f>
        <v>N</v>
      </c>
      <c r="L2" s="223" t="str" cm="1">
        <f t="array" ref="L2">INDEX('SR History'!L:L,COUNTA('SR History'!L:L)+2)</f>
        <v>N</v>
      </c>
      <c r="M2" s="223" cm="1">
        <f t="array" ref="M2">INDEX('SR History'!M:M,COUNTA('SR History'!M:M)+1)</f>
        <v>1</v>
      </c>
      <c r="N2" s="223" cm="1">
        <f t="array" ref="N2">INDEX('SR History'!N:N,COUNTA('SR History'!N:N)+2)</f>
        <v>90000</v>
      </c>
      <c r="O2" s="223" t="str" cm="1">
        <f t="array" ref="O2">INDEX('SR History'!O:O,COUNTA('SR History'!O:O)+1)</f>
        <v>10,20</v>
      </c>
      <c r="P2" s="223" t="str" cm="1">
        <f t="array" ref="P2">INDEX('SR History'!P:P,COUNTA('SR History'!P:P)+1)</f>
        <v>10,21</v>
      </c>
      <c r="Q2" s="223" t="str" cm="1">
        <f t="array" ref="Q2">INDEX('SR History'!Q:Q,COUNTA('SR History'!Q:Q)+2)</f>
        <v>ไม่รองรับทศนิยม</v>
      </c>
      <c r="R2" s="223" t="str" cm="1">
        <f t="array" ref="R2">INDEX('SR History'!R:R,COUNTA('SR History'!R:R)+2)</f>
        <v>Online Check</v>
      </c>
    </row>
    <row r="4" spans="1:18" ht="21.75" x14ac:dyDescent="0.5">
      <c r="A4" s="310" t="s">
        <v>1028</v>
      </c>
      <c r="B4" s="310" t="s">
        <v>1029</v>
      </c>
      <c r="C4" s="310" t="s">
        <v>1030</v>
      </c>
    </row>
    <row r="5" spans="1:18" ht="21.75" x14ac:dyDescent="0.5">
      <c r="A5" s="310" t="s">
        <v>1031</v>
      </c>
      <c r="B5" s="310" t="s">
        <v>1032</v>
      </c>
      <c r="C5" s="310" t="s">
        <v>1033</v>
      </c>
    </row>
    <row r="6" spans="1:18" ht="21.75" x14ac:dyDescent="0.5">
      <c r="A6" s="310" t="s">
        <v>577</v>
      </c>
      <c r="B6" s="310" t="s">
        <v>1034</v>
      </c>
      <c r="C6" s="310" t="s">
        <v>988</v>
      </c>
    </row>
    <row r="7" spans="1:18" ht="21.75" x14ac:dyDescent="0.5">
      <c r="A7" s="310" t="s">
        <v>1035</v>
      </c>
      <c r="B7" s="310" t="s">
        <v>1036</v>
      </c>
      <c r="C7" s="310" t="s">
        <v>1037</v>
      </c>
    </row>
    <row r="8" spans="1:18" ht="21.75" x14ac:dyDescent="0.5">
      <c r="A8" s="310" t="s">
        <v>1038</v>
      </c>
      <c r="B8" s="310"/>
      <c r="C8" s="310"/>
    </row>
    <row r="9" spans="1:18" ht="21.75" x14ac:dyDescent="0.5">
      <c r="A9" s="310" t="s">
        <v>1039</v>
      </c>
      <c r="B9" s="310"/>
      <c r="C9" s="310"/>
    </row>
    <row r="11" spans="1:18" x14ac:dyDescent="0.2">
      <c r="A11" s="223">
        <v>1</v>
      </c>
      <c r="B11" s="223" t="s">
        <v>1040</v>
      </c>
    </row>
    <row r="12" spans="1:18" x14ac:dyDescent="0.2">
      <c r="A12" s="223">
        <v>2</v>
      </c>
      <c r="B12" s="223" t="s">
        <v>1041</v>
      </c>
    </row>
    <row r="13" spans="1:18" x14ac:dyDescent="0.2">
      <c r="A13" s="223">
        <v>3</v>
      </c>
      <c r="B13" s="223" t="s">
        <v>1042</v>
      </c>
    </row>
    <row r="14" spans="1:18" x14ac:dyDescent="0.2">
      <c r="A14" s="223">
        <v>4</v>
      </c>
      <c r="B14" s="223" t="s">
        <v>1043</v>
      </c>
    </row>
    <row r="15" spans="1:18" x14ac:dyDescent="0.2">
      <c r="A15" s="223" t="s">
        <v>108</v>
      </c>
      <c r="B15" s="223" t="s">
        <v>1044</v>
      </c>
    </row>
    <row r="16" spans="1:18" x14ac:dyDescent="0.2">
      <c r="A16" s="223" t="s">
        <v>1045</v>
      </c>
      <c r="B16" s="223" t="s">
        <v>1046</v>
      </c>
    </row>
    <row r="18" spans="1:2" x14ac:dyDescent="0.2">
      <c r="A18" s="223" t="s">
        <v>110</v>
      </c>
      <c r="B18" s="223" t="s">
        <v>1047</v>
      </c>
    </row>
    <row r="19" spans="1:2" x14ac:dyDescent="0.2">
      <c r="A19" s="223" t="s">
        <v>108</v>
      </c>
      <c r="B19" s="223" t="s">
        <v>1048</v>
      </c>
    </row>
    <row r="21" spans="1:2" x14ac:dyDescent="0.2">
      <c r="A21" s="223">
        <v>1</v>
      </c>
      <c r="B21" s="223" t="s">
        <v>1049</v>
      </c>
    </row>
    <row r="22" spans="1:2" x14ac:dyDescent="0.2">
      <c r="A22" s="223">
        <v>2</v>
      </c>
      <c r="B22" s="223" t="s">
        <v>1050</v>
      </c>
    </row>
    <row r="23" spans="1:2" x14ac:dyDescent="0.2">
      <c r="A23" s="223" t="s">
        <v>108</v>
      </c>
      <c r="B23" s="223" t="s"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SR History</vt:lpstr>
      <vt:lpstr>Test_Case&amp;Result</vt:lpstr>
      <vt:lpstr>CONFIG</vt:lpstr>
      <vt:lpstr>Validation</vt:lpstr>
      <vt:lpstr>Autofix</vt:lpstr>
      <vt:lpstr>AutoResend</vt:lpstr>
      <vt:lpstr>Notes</vt:lpstr>
      <vt:lpstr>How to use template</vt:lpstr>
      <vt:lpstr>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Nakarin &lt;jamy&gt; Sueakanong</cp:lastModifiedBy>
  <dcterms:created xsi:type="dcterms:W3CDTF">2025-09-08T21:15:56Z</dcterms:created>
  <dcterms:modified xsi:type="dcterms:W3CDTF">2025-09-11T21:24:05Z</dcterms:modified>
</cp:coreProperties>
</file>